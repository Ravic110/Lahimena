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tables/table4.xml" ContentType="application/vnd.openxmlformats-officedocument.spreadsheetml.table+xml"/>
  <Override PartName="/xl/tables/table11.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2"/>
  </bookViews>
  <sheets>
    <sheet name="INFOS CLIENTS" sheetId="1" state="visible" r:id="rId3"/>
    <sheet name="INFOS SUR CLIENTS" sheetId="2" state="visible" r:id="rId4"/>
    <sheet name="INFOS SUR VOYAGES" sheetId="3" state="visible" r:id="rId5"/>
    <sheet name="DEMANDE_CLIENT" sheetId="4" state="visible" r:id="rId6"/>
    <sheet name="BDD_HOTEL" sheetId="5" state="visible" r:id="rId7"/>
    <sheet name="TRANSPORTS" sheetId="6" state="visible" r:id="rId8"/>
    <sheet name="HOTEL &amp; RESTO" sheetId="7" state="visible" r:id="rId9"/>
    <sheet name="FRAIS COLLECTIF" sheetId="8" state="visible" r:id="rId10"/>
    <sheet name="VISITES ET EXCURSIONS" sheetId="9" state="visible" r:id="rId11"/>
    <sheet name="BILLET D'AVION" sheetId="10" state="visible" r:id="rId12"/>
    <sheet name="KM MADAGASCAR" sheetId="11" state="visible" r:id="rId13"/>
    <sheet name="COTATION" sheetId="12" state="visible" r:id="rId14"/>
    <sheet name="COTATION_H" sheetId="13" state="visible" r:id="rId15"/>
  </sheets>
  <definedNames>
    <definedName function="false" hidden="false" name="pays" vbProcedure="false">[1]!tbl_pays[pays]</definedName>
    <definedName function="false" hidden="false" name="produit" vbProcedure="false">[2]!tbl_produit[code_produit]</definedName>
    <definedName function="false" hidden="false" localSheetId="7" name="pays" vbProcedure="false">[1]!tbl_pays[pays]</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Auteur inconnu</author>
  </authors>
  <commentList>
    <comment ref="U3" authorId="0">
      <text>
        <r>
          <rPr>
            <sz val="10"/>
            <rFont val="Arial"/>
            <family val="2"/>
          </rPr>
          <t xml:space="preserve">NILACONSEIL:
Bébé : voyage sur les genoux d'un adulte, non concerné par les frais individuels ou collectifs, il paye uniquement la taxe de transport</t>
        </r>
      </text>
    </comment>
    <comment ref="W13" authorId="0">
      <text>
        <r>
          <rPr>
            <sz val="10"/>
            <rFont val="Arial"/>
            <family val="2"/>
          </rPr>
          <t xml:space="preserve">NILACONSEIL:
Bébé : voyage sur les genoux d'un adulte, non concerné par les frais individuels ou collectifs, il paye uniquement la taxe de transport</t>
        </r>
      </text>
    </comment>
  </commentList>
</comments>
</file>

<file path=xl/comments10.xml><?xml version="1.0" encoding="utf-8"?>
<comments xmlns="http://schemas.openxmlformats.org/spreadsheetml/2006/main" xmlns:xdr="http://schemas.openxmlformats.org/drawingml/2006/spreadsheetDrawing">
  <authors>
    <author>Auteur inconnu</author>
  </authors>
  <commentList>
    <comment ref="F2" authorId="0">
      <text>
        <r>
          <rPr>
            <sz val="10"/>
            <rFont val="Arial"/>
            <family val="2"/>
          </rPr>
          <t xml:space="preserve">NILACONSEIL:
Un enfant qui n'occupe pas de siège et voyage sur les genoux d'un adulte</t>
        </r>
      </text>
    </comment>
  </commentList>
</comments>
</file>

<file path=xl/sharedStrings.xml><?xml version="1.0" encoding="utf-8"?>
<sst xmlns="http://schemas.openxmlformats.org/spreadsheetml/2006/main" count="2301" uniqueCount="687">
  <si>
    <t xml:space="preserve">Infos clients</t>
  </si>
  <si>
    <t xml:space="preserve">Facturation</t>
  </si>
  <si>
    <t xml:space="preserve">Veuillez remplir toutes les informations (1)</t>
  </si>
  <si>
    <t xml:space="preserve">Renseignements sur les clients</t>
  </si>
  <si>
    <t xml:space="preserve">Hebergements</t>
  </si>
  <si>
    <t xml:space="preserve">Total Hebergement</t>
  </si>
  <si>
    <t xml:space="preserve">Frais de dossier</t>
  </si>
  <si>
    <t xml:space="preserve">Nom du client</t>
  </si>
  <si>
    <t xml:space="preserve">Nombre de pax</t>
  </si>
  <si>
    <t xml:space="preserve">Restauration</t>
  </si>
  <si>
    <t xml:space="preserve">Total Restauration</t>
  </si>
  <si>
    <t xml:space="preserve">Répartition</t>
  </si>
  <si>
    <t xml:space="preserve">Voitures</t>
  </si>
  <si>
    <t xml:space="preserve">Total Location</t>
  </si>
  <si>
    <t xml:space="preserve">Total Carburant</t>
  </si>
  <si>
    <t xml:space="preserve">Adulte</t>
  </si>
  <si>
    <t xml:space="preserve">Enfants</t>
  </si>
  <si>
    <t xml:space="preserve">Avion</t>
  </si>
  <si>
    <t xml:space="preserve">Total Avion</t>
  </si>
  <si>
    <t xml:space="preserve">Durée de séjour</t>
  </si>
  <si>
    <t xml:space="preserve">Excursions</t>
  </si>
  <si>
    <t xml:space="preserve">Total Excursion</t>
  </si>
  <si>
    <t xml:space="preserve">Date d'arrivée</t>
  </si>
  <si>
    <t xml:space="preserve">Date de départ</t>
  </si>
  <si>
    <t xml:space="preserve">Parcs &amp; Reserves</t>
  </si>
  <si>
    <t xml:space="preserve">Total Parcs &amp; Reserves</t>
  </si>
  <si>
    <t xml:space="preserve">Transferts</t>
  </si>
  <si>
    <t xml:space="preserve">Total Transferts</t>
  </si>
  <si>
    <t xml:space="preserve">Num Vol</t>
  </si>
  <si>
    <t xml:space="preserve">Compagnie</t>
  </si>
  <si>
    <t xml:space="preserve">Guide</t>
  </si>
  <si>
    <t xml:space="preserve">Total Guide</t>
  </si>
  <si>
    <t xml:space="preserve">Taxes divers</t>
  </si>
  <si>
    <t xml:space="preserve">Total Taxes divers</t>
  </si>
  <si>
    <t xml:space="preserve">Déplacements</t>
  </si>
  <si>
    <t xml:space="preserve">Marge tarifs publiques</t>
  </si>
  <si>
    <t xml:space="preserve">Type de voiture</t>
  </si>
  <si>
    <t xml:space="preserve">Nb de voiture</t>
  </si>
  <si>
    <t xml:space="preserve">Total en Ariary</t>
  </si>
  <si>
    <t xml:space="preserve">Axe de visite</t>
  </si>
  <si>
    <t xml:space="preserve">Total en Euros</t>
  </si>
  <si>
    <t xml:space="preserve">Marge bénéficiaire</t>
  </si>
  <si>
    <t xml:space="preserve">Accompte 50%</t>
  </si>
  <si>
    <t xml:space="preserve">Marge Tarif publiques</t>
  </si>
  <si>
    <t xml:space="preserve">Reste 50%</t>
  </si>
  <si>
    <t xml:space="preserve">Taux du jour</t>
  </si>
  <si>
    <t xml:space="preserve">Tarif TO/Pax</t>
  </si>
  <si>
    <t xml:space="preserve">Référence client</t>
  </si>
  <si>
    <t xml:space="preserve">Création de la réservation</t>
  </si>
  <si>
    <t xml:space="preserve">Agent</t>
  </si>
  <si>
    <t xml:space="preserve">INFOS CLIENTS</t>
  </si>
  <si>
    <t xml:space="preserve">Nom</t>
  </si>
  <si>
    <t xml:space="preserve">Participants</t>
  </si>
  <si>
    <t xml:space="preserve">Bébé ( 0 à 2 an)</t>
  </si>
  <si>
    <t xml:space="preserve">Prenom</t>
  </si>
  <si>
    <t xml:space="preserve">Enfants (2 à 12 ans)</t>
  </si>
  <si>
    <t xml:space="preserve">Adulte (+ de 12 ans)</t>
  </si>
  <si>
    <t xml:space="preserve">HEBERGEMENTS ET RESTAURATION</t>
  </si>
  <si>
    <t xml:space="preserve">Période</t>
  </si>
  <si>
    <t xml:space="preserve">Haute saison</t>
  </si>
  <si>
    <t xml:space="preserve">Rooming list</t>
  </si>
  <si>
    <t xml:space="preserve">Single</t>
  </si>
  <si>
    <t xml:space="preserve">Formule restauration</t>
  </si>
  <si>
    <t xml:space="preserve">Sans Restauration</t>
  </si>
  <si>
    <t xml:space="preserve">Moyenne saison</t>
  </si>
  <si>
    <t xml:space="preserve">Double/TWIN</t>
  </si>
  <si>
    <t xml:space="preserve">Petit Déjeuner</t>
  </si>
  <si>
    <t xml:space="preserve">Basse saison</t>
  </si>
  <si>
    <t xml:space="preserve">Triple</t>
  </si>
  <si>
    <t xml:space="preserve">Demi-Pension</t>
  </si>
  <si>
    <t xml:space="preserve">Familliale</t>
  </si>
  <si>
    <t xml:space="preserve">Pension Complète</t>
  </si>
  <si>
    <t xml:space="preserve">VOITURES</t>
  </si>
  <si>
    <t xml:space="preserve">Voiture</t>
  </si>
  <si>
    <t xml:space="preserve">Nombre de voiture</t>
  </si>
  <si>
    <t xml:space="preserve">Distance total à parcourir</t>
  </si>
  <si>
    <t xml:space="preserve">SEJOUR</t>
  </si>
  <si>
    <t xml:space="preserve">Forfaits</t>
  </si>
  <si>
    <t xml:space="preserve">Sur mésure</t>
  </si>
  <si>
    <t xml:space="preserve">Type de circuits</t>
  </si>
  <si>
    <t xml:space="preserve">Circuits nature</t>
  </si>
  <si>
    <t xml:space="preserve">Nom du circuit</t>
  </si>
  <si>
    <t xml:space="preserve">A la carte</t>
  </si>
  <si>
    <t xml:space="preserve">Circuits aventure</t>
  </si>
  <si>
    <t xml:space="preserve">Circuit Tourisme Solidaire</t>
  </si>
  <si>
    <t xml:space="preserve">Circuit Culturel</t>
  </si>
  <si>
    <t xml:space="preserve">Circuits trek et randonnées</t>
  </si>
  <si>
    <t xml:space="preserve">Circuits détente</t>
  </si>
  <si>
    <t xml:space="preserve">Voyages de noce</t>
  </si>
  <si>
    <t xml:space="preserve">Code</t>
  </si>
  <si>
    <t xml:space="preserve">Types de circuits</t>
  </si>
  <si>
    <t xml:space="preserve">Type Transport</t>
  </si>
  <si>
    <t xml:space="preserve">Type Hébergement</t>
  </si>
  <si>
    <t xml:space="preserve">FORMULE RESTAURATION</t>
  </si>
  <si>
    <t xml:space="preserve">Age Enfant</t>
  </si>
  <si>
    <t xml:space="preserve">A la carte </t>
  </si>
  <si>
    <t xml:space="preserve">Haute Saison</t>
  </si>
  <si>
    <t xml:space="preserve">HS</t>
  </si>
  <si>
    <t xml:space="preserve">Vol A/R</t>
  </si>
  <si>
    <t xml:space="preserve">Bivouac</t>
  </si>
  <si>
    <t xml:space="preserve">0-2ans</t>
  </si>
  <si>
    <t xml:space="preserve">Moyenne Saison</t>
  </si>
  <si>
    <t xml:space="preserve">MS</t>
  </si>
  <si>
    <t xml:space="preserve">Bus A/R</t>
  </si>
  <si>
    <t xml:space="preserve">Hôtel 3*</t>
  </si>
  <si>
    <t xml:space="preserve">2-6ans</t>
  </si>
  <si>
    <t xml:space="preserve">Basse Saison</t>
  </si>
  <si>
    <t xml:space="preserve">BS</t>
  </si>
  <si>
    <t xml:space="preserve">Sans Transport</t>
  </si>
  <si>
    <t xml:space="preserve">Hôtel 4*</t>
  </si>
  <si>
    <t xml:space="preserve">6-12ans</t>
  </si>
  <si>
    <t xml:space="preserve">Hôtel 5*</t>
  </si>
  <si>
    <t xml:space="preserve">2-12ans</t>
  </si>
  <si>
    <t xml:space="preserve">Maison d'hôtes</t>
  </si>
  <si>
    <t xml:space="preserve">All Inclusive Soft</t>
  </si>
  <si>
    <t xml:space="preserve">Auberge de vacances</t>
  </si>
  <si>
    <t xml:space="preserve">All Inclusive</t>
  </si>
  <si>
    <t xml:space="preserve">Bateau</t>
  </si>
  <si>
    <t xml:space="preserve">Ultra All Inclusive</t>
  </si>
  <si>
    <t xml:space="preserve">Gîte</t>
  </si>
  <si>
    <t xml:space="preserve">Durée, dates</t>
  </si>
  <si>
    <t xml:space="preserve">Itinéraires avec distance</t>
  </si>
  <si>
    <t xml:space="preserve">Types de voitures</t>
  </si>
  <si>
    <t xml:space="preserve">Date Resa</t>
  </si>
  <si>
    <t xml:space="preserve">Ref client</t>
  </si>
  <si>
    <t xml:space="preserve">Nom client</t>
  </si>
  <si>
    <t xml:space="preserve">code pays</t>
  </si>
  <si>
    <t xml:space="preserve">Téléphone</t>
  </si>
  <si>
    <t xml:space="preserve">mail</t>
  </si>
  <si>
    <t xml:space="preserve">période voyage</t>
  </si>
  <si>
    <t xml:space="preserve">Resto</t>
  </si>
  <si>
    <t xml:space="preserve">hébergement</t>
  </si>
  <si>
    <t xml:space="preserve">chambre</t>
  </si>
  <si>
    <t xml:space="preserve">enfant</t>
  </si>
  <si>
    <t xml:space="preserve">age enfant</t>
  </si>
  <si>
    <t xml:space="preserve">forfait</t>
  </si>
  <si>
    <t xml:space="preserve">voiture</t>
  </si>
  <si>
    <t xml:space="preserve">circuit</t>
  </si>
  <si>
    <t xml:space="preserve">02/02/2026 21:27</t>
  </si>
  <si>
    <t xml:space="preserve">00202029</t>
  </si>
  <si>
    <t xml:space="preserve">RABEMANAMBOLA FENOSOA</t>
  </si>
  <si>
    <t xml:space="preserve">+2610340109073</t>
  </si>
  <si>
    <t xml:space="preserve">rabemanambola.feno@gmail.com</t>
  </si>
  <si>
    <t xml:space="preserve">Petit déjeuner</t>
  </si>
  <si>
    <t xml:space="preserve">Oui</t>
  </si>
  <si>
    <t xml:space="preserve">0 à 2 ans</t>
  </si>
  <si>
    <t xml:space="preserve">À la carte</t>
  </si>
  <si>
    <t xml:space="preserve">Circuit aventure</t>
  </si>
  <si>
    <t xml:space="preserve">02/02/2026 21:30</t>
  </si>
  <si>
    <t xml:space="preserve">MA0303484</t>
  </si>
  <si>
    <t xml:space="preserve">Mariah</t>
  </si>
  <si>
    <t xml:space="preserve">mariah@moov.mg</t>
  </si>
  <si>
    <t xml:space="preserve">Ultra all inclusive</t>
  </si>
  <si>
    <t xml:space="preserve">Double/twin</t>
  </si>
  <si>
    <t xml:space="preserve">Non</t>
  </si>
  <si>
    <t xml:space="preserve">Sur mesure</t>
  </si>
  <si>
    <t xml:space="preserve">Voyage de noce</t>
  </si>
  <si>
    <t xml:space="preserve">Ville</t>
  </si>
  <si>
    <t xml:space="preserve">HTL</t>
  </si>
  <si>
    <t xml:space="preserve">CATÉGORIE</t>
  </si>
  <si>
    <t xml:space="preserve">UNITÉ</t>
  </si>
  <si>
    <t xml:space="preserve">SPL</t>
  </si>
  <si>
    <t xml:space="preserve">DBL</t>
  </si>
  <si>
    <t xml:space="preserve">TWINS</t>
  </si>
  <si>
    <t xml:space="preserve">FML</t>
  </si>
  <si>
    <t xml:space="preserve">SUPP</t>
  </si>
  <si>
    <t xml:space="preserve">SUITE</t>
  </si>
  <si>
    <t xml:space="preserve">PDJ</t>
  </si>
  <si>
    <t xml:space="preserve">DJ</t>
  </si>
  <si>
    <t xml:space="preserve">DR</t>
  </si>
  <si>
    <t xml:space="preserve">ANTANANARIVO</t>
  </si>
  <si>
    <t xml:space="preserve">CARLTON 5*</t>
  </si>
  <si>
    <t xml:space="preserve">PBC</t>
  </si>
  <si>
    <t xml:space="preserve">$</t>
  </si>
  <si>
    <t xml:space="preserve">offert</t>
  </si>
  <si>
    <t xml:space="preserve">TO</t>
  </si>
  <si>
    <t xml:space="preserve">COLBERT PALACE 5*</t>
  </si>
  <si>
    <t xml:space="preserve">LE LOUVRE HÔTEL&amp; SPA 4*</t>
  </si>
  <si>
    <t xml:space="preserve">€</t>
  </si>
  <si>
    <t xml:space="preserve">81/136</t>
  </si>
  <si>
    <t xml:space="preserve">PALISSANDRE HÔTEL &amp; SPA 4*</t>
  </si>
  <si>
    <t xml:space="preserve">90-110</t>
  </si>
  <si>
    <t xml:space="preserve">100-130</t>
  </si>
  <si>
    <t xml:space="preserve">180-220</t>
  </si>
  <si>
    <t xml:space="preserve">souvent gratuit</t>
  </si>
  <si>
    <t xml:space="preserve">IBIS ANTANANARIVO Ankorondrano</t>
  </si>
  <si>
    <t xml:space="preserve">45-70</t>
  </si>
  <si>
    <t xml:space="preserve">60-100</t>
  </si>
  <si>
    <t xml:space="preserve">appartement/2-lits 120+</t>
  </si>
  <si>
    <t xml:space="preserve">PC</t>
  </si>
  <si>
    <t xml:space="preserve">RADISSON/Tamboho Waterfront</t>
  </si>
  <si>
    <t xml:space="preserve">90-120</t>
  </si>
  <si>
    <t xml:space="preserve">120-160</t>
  </si>
  <si>
    <t xml:space="preserve">200-260</t>
  </si>
  <si>
    <t xml:space="preserve">extra bed 20-22</t>
  </si>
  <si>
    <t xml:space="preserve">TSANGA TSANGA</t>
  </si>
  <si>
    <t xml:space="preserve">MGA</t>
  </si>
  <si>
    <t xml:space="preserve">SAMSARA</t>
  </si>
  <si>
    <t xml:space="preserve">SAKAMANGA</t>
  </si>
  <si>
    <t xml:space="preserve">HAVANA RESORT</t>
  </si>
  <si>
    <t xml:space="preserve">IVATO</t>
  </si>
  <si>
    <t xml:space="preserve">FLY INN MADAGASCAR HOTEL</t>
  </si>
  <si>
    <t xml:space="preserve">OCEANIS HOME &amp; VOYAGES</t>
  </si>
  <si>
    <t xml:space="preserve">1442O2</t>
  </si>
  <si>
    <t xml:space="preserve">Tia VAHINE</t>
  </si>
  <si>
    <t xml:space="preserve">HOTEL ESCALE</t>
  </si>
  <si>
    <t xml:space="preserve">HOTEL LA kapila IVATO</t>
  </si>
  <si>
    <t xml:space="preserve">HOMELIDAYS</t>
  </si>
  <si>
    <t xml:space="preserve">CHAMBRE D'HÔTES VALIHA</t>
  </si>
  <si>
    <t xml:space="preserve">SAHAMALAZA</t>
  </si>
  <si>
    <t xml:space="preserve">SOMPTUA GARDEN</t>
  </si>
  <si>
    <t xml:space="preserve">RHV GUEST HOUSE</t>
  </si>
  <si>
    <t xml:space="preserve">MANTASOA</t>
  </si>
  <si>
    <t xml:space="preserve">LA CASA DIA MANTASOA</t>
  </si>
  <si>
    <t xml:space="preserve">LAKE HOUSE MANTASOA</t>
  </si>
  <si>
    <t xml:space="preserve">DOMAINE DE L'ERMITAGE MANTASOA</t>
  </si>
  <si>
    <t xml:space="preserve">AMPEFY</t>
  </si>
  <si>
    <t xml:space="preserve">FARIHY HÔTEL</t>
  </si>
  <si>
    <t xml:space="preserve">LA CHAUMIÈRE</t>
  </si>
  <si>
    <t xml:space="preserve">petit supp</t>
  </si>
  <si>
    <t xml:space="preserve">selon pax</t>
  </si>
  <si>
    <t xml:space="preserve">HÔTEL KAVITAHA</t>
  </si>
  <si>
    <t xml:space="preserve">AMPEFY LODGE</t>
  </si>
  <si>
    <t xml:space="preserve">35-76</t>
  </si>
  <si>
    <t xml:space="preserve">28-50</t>
  </si>
  <si>
    <t xml:space="preserve">AMBATOLAMPY </t>
  </si>
  <si>
    <t xml:space="preserve">TAPENAKA</t>
  </si>
  <si>
    <t xml:space="preserve">ANTSIRABE</t>
  </si>
  <si>
    <t xml:space="preserve">COULEUR CAFÉ</t>
  </si>
  <si>
    <t xml:space="preserve">HÔTEL DES THERMES</t>
  </si>
  <si>
    <t xml:space="preserve">idem</t>
  </si>
  <si>
    <t xml:space="preserve">PLUMERIA HÔTEL</t>
  </si>
  <si>
    <t xml:space="preserve">selon la demande</t>
  </si>
  <si>
    <t xml:space="preserve">LE TRIANON</t>
  </si>
  <si>
    <t xml:space="preserve">HÔTEL MENABE'L</t>
  </si>
  <si>
    <t xml:space="preserve">BIRA HÔTEL</t>
  </si>
  <si>
    <t xml:space="preserve">ROYAL PALACE</t>
  </si>
  <si>
    <t xml:space="preserve">AMBOSITRA</t>
  </si>
  <si>
    <t xml:space="preserve">L'ARTISANT HÔTEL</t>
  </si>
  <si>
    <t xml:space="preserve">sur demande</t>
  </si>
  <si>
    <t xml:space="preserve">AMBOSITRA LODGE</t>
  </si>
  <si>
    <t xml:space="preserve">à la demande</t>
  </si>
  <si>
    <t xml:space="preserve">VALANGUESTHOUSE</t>
  </si>
  <si>
    <t xml:space="preserve">LE MIAMIAMGLOUGLOU</t>
  </si>
  <si>
    <t xml:space="preserve">RANOMAFANA</t>
  </si>
  <si>
    <t xml:space="preserve">SETAM LODGE</t>
  </si>
  <si>
    <t xml:space="preserve">CHEZ MINERVA RANOMAFANA</t>
  </si>
  <si>
    <t xml:space="preserve">FORÊT AUSTRAL RANOMAFANA</t>
  </si>
  <si>
    <t xml:space="preserve">KAMBANA RESIDENCE</t>
  </si>
  <si>
    <t xml:space="preserve">LE GRENAT HÔTEL &amp; RESTAURANT</t>
  </si>
  <si>
    <t xml:space="preserve">MANAKARA</t>
  </si>
  <si>
    <t xml:space="preserve">HÔTEL LE PARTHENAY</t>
  </si>
  <si>
    <t xml:space="preserve">HÔTEL H1 MANAKARA</t>
  </si>
  <si>
    <t xml:space="preserve">à la  demande</t>
  </si>
  <si>
    <t xml:space="preserve">LA RESIDENCE MANAKARA</t>
  </si>
  <si>
    <t xml:space="preserve">HÔTEL ANTEMORO</t>
  </si>
  <si>
    <t xml:space="preserve">MANANJARA</t>
  </si>
  <si>
    <t xml:space="preserve">HÔTEL H1 MANANJARA</t>
  </si>
  <si>
    <t xml:space="preserve">FARAFANGANA</t>
  </si>
  <si>
    <t xml:space="preserve">AUSTRAL HÔTEL</t>
  </si>
  <si>
    <t xml:space="preserve">FIANARANTSOA</t>
  </si>
  <si>
    <t xml:space="preserve">TSARA GUEST HOUSE</t>
  </si>
  <si>
    <t xml:space="preserve">USD</t>
  </si>
  <si>
    <t xml:space="preserve">HÔTEL EVASION</t>
  </si>
  <si>
    <t xml:space="preserve">MANGA BLUE'S GUEST HOUSE</t>
  </si>
  <si>
    <t xml:space="preserve">THREE PALMS HOUSE</t>
  </si>
  <si>
    <t xml:space="preserve">RESIDENCE MATSIATRA</t>
  </si>
  <si>
    <t xml:space="preserve">HÔTEL MAHAMANINA</t>
  </si>
  <si>
    <t xml:space="preserve">HÔTEL SAHAMBAVY</t>
  </si>
  <si>
    <t xml:space="preserve"> ANDRINGITRA</t>
  </si>
  <si>
    <t xml:space="preserve">CAMP CATTA</t>
  </si>
  <si>
    <t xml:space="preserve">BETSILEO COUNTRY LODGE</t>
  </si>
  <si>
    <t xml:space="preserve">IHOSY</t>
  </si>
  <si>
    <t xml:space="preserve">CHEZ ALICE</t>
  </si>
  <si>
    <t xml:space="preserve">RANOHIRA</t>
  </si>
  <si>
    <t xml:space="preserve">LE RELAIS DE LA REINE DE L' ISALO</t>
  </si>
  <si>
    <t xml:space="preserve">ISALO RANCH</t>
  </si>
  <si>
    <t xml:space="preserve">HÔTEL H1 ISALO</t>
  </si>
  <si>
    <t xml:space="preserve">MOTEL DE L'ISALO</t>
  </si>
  <si>
    <t xml:space="preserve">ISALO ROCK LODGE</t>
  </si>
  <si>
    <t xml:space="preserve">SATRANA LOGDE</t>
  </si>
  <si>
    <t xml:space="preserve">TULEAR</t>
  </si>
  <si>
    <t xml:space="preserve">VICTORY HÔTEL &amp; RESTAURANT</t>
  </si>
  <si>
    <t xml:space="preserve">MORINGA HÔTEL</t>
  </si>
  <si>
    <t xml:space="preserve">HARY'S APARTHOTEL</t>
  </si>
  <si>
    <t xml:space="preserve">AUBERGE DE LA TABLE</t>
  </si>
  <si>
    <t xml:space="preserve">VILLA CLAIRE</t>
  </si>
  <si>
    <t xml:space="preserve">VOVO TELO LODGE</t>
  </si>
  <si>
    <t xml:space="preserve">HÔTEL SERENA</t>
  </si>
  <si>
    <t xml:space="preserve">FLAMINGO RESIDENCE</t>
  </si>
  <si>
    <t xml:space="preserve">HÔTEL LE BŒUF</t>
  </si>
  <si>
    <t xml:space="preserve">AMAZONE HÔTEL TULEAR</t>
  </si>
  <si>
    <t xml:space="preserve">MIRA HÔTEL</t>
  </si>
  <si>
    <t xml:space="preserve">IFATY</t>
  </si>
  <si>
    <t xml:space="preserve">LE JARDIN DE L'ISLE</t>
  </si>
  <si>
    <t xml:space="preserve">VILLA MAROLOKO</t>
  </si>
  <si>
    <t xml:space="preserve">IFATY BEACH CLUB RESSORT</t>
  </si>
  <si>
    <t xml:space="preserve">LA BELLE DONNA</t>
  </si>
  <si>
    <t xml:space="preserve">BAMBOO CLUB</t>
  </si>
  <si>
    <t xml:space="preserve">HÔTEL SOLIDAIRE MANGILY</t>
  </si>
  <si>
    <t xml:space="preserve">SALARY</t>
  </si>
  <si>
    <t xml:space="preserve">SALARY BAY</t>
  </si>
  <si>
    <t xml:space="preserve">SIRENA DEL MARE</t>
  </si>
  <si>
    <t xml:space="preserve">SAVANNAH BEACH</t>
  </si>
  <si>
    <t xml:space="preserve">SARODRANO</t>
  </si>
  <si>
    <t xml:space="preserve">HÔTEL LA MANGROVE</t>
  </si>
  <si>
    <t xml:space="preserve">CHEZ ANDREA</t>
  </si>
  <si>
    <t xml:space="preserve">BAKUBA LODGE</t>
  </si>
  <si>
    <t xml:space="preserve">ANAKAO</t>
  </si>
  <si>
    <t xml:space="preserve">PETER  PAN ANAKAO</t>
  </si>
  <si>
    <t xml:space="preserve">LA DUNE DES SONGES</t>
  </si>
  <si>
    <t xml:space="preserve">PRINCE ANAKAO</t>
  </si>
  <si>
    <t xml:space="preserve">VILLA MEUBLE A LOUER</t>
  </si>
  <si>
    <t xml:space="preserve">CHARMING HOUSE IN ANAKAO WITH GARDEN</t>
  </si>
  <si>
    <t xml:space="preserve">ANAKAO OCEAN LODGE</t>
  </si>
  <si>
    <t xml:space="preserve">BEHELOKA</t>
  </si>
  <si>
    <t xml:space="preserve">BEHELOKA LODGE</t>
  </si>
  <si>
    <t xml:space="preserve">ITAMPOLO</t>
  </si>
  <si>
    <t xml:space="preserve">HÔTEL SUDSUD</t>
  </si>
  <si>
    <t xml:space="preserve">LAVANONO</t>
  </si>
  <si>
    <t xml:space="preserve">LAVANONO LODGE</t>
  </si>
  <si>
    <t xml:space="preserve">PBC </t>
  </si>
  <si>
    <t xml:space="preserve">LAVANONO SURF VOYAGE</t>
  </si>
  <si>
    <t xml:space="preserve">faux Camp</t>
  </si>
  <si>
    <t xml:space="preserve">BUNGALOW</t>
  </si>
  <si>
    <t xml:space="preserve">BERENTY-AMBOASARY</t>
  </si>
  <si>
    <t xml:space="preserve">BERENTY LODGE</t>
  </si>
  <si>
    <t xml:space="preserve">FORTDAUPHIN</t>
  </si>
  <si>
    <t xml:space="preserve">AMI APPART HOTEL</t>
  </si>
  <si>
    <t xml:space="preserve">AKOMBA BEACH HOTEL</t>
  </si>
  <si>
    <t xml:space="preserve">TALINJOO HOTEL</t>
  </si>
  <si>
    <t xml:space="preserve">LA CROIX DU SUD</t>
  </si>
  <si>
    <t xml:space="preserve">LE TOURNESOL</t>
  </si>
  <si>
    <t xml:space="preserve">AMPANDRANDAVA</t>
  </si>
  <si>
    <t xml:space="preserve">ECO-GITE BASIQUE</t>
  </si>
  <si>
    <t xml:space="preserve">MORONDAVA</t>
  </si>
  <si>
    <t xml:space="preserve">VEZO BEACH HOTEL MORONDAVA</t>
  </si>
  <si>
    <t xml:space="preserve">KILY HOUSE</t>
  </si>
  <si>
    <t xml:space="preserve">HOTEL MENABE</t>
  </si>
  <si>
    <t xml:space="preserve">SELECT HOTEL</t>
  </si>
  <si>
    <t xml:space="preserve">HAVANA HOTEL</t>
  </si>
  <si>
    <t xml:space="preserve">VILLA A.TIA</t>
  </si>
  <si>
    <t xml:space="preserve">CAP KIMONY</t>
  </si>
  <si>
    <t xml:space="preserve">MAISON CHARRETTE</t>
  </si>
  <si>
    <t xml:space="preserve">TRECIGOGNE</t>
  </si>
  <si>
    <t xml:space="preserve">HÔTEL CONTINENTAL</t>
  </si>
  <si>
    <t xml:space="preserve">HÔTEL PALISSANDRE MORONDAVA</t>
  </si>
  <si>
    <t xml:space="preserve">CHEZ MAGGIE HOTEL &amp; RESTAURANT</t>
  </si>
  <si>
    <t xml:space="preserve">BELOHA SUR TSIRIBIHINA</t>
  </si>
  <si>
    <t xml:space="preserve">BELO BEACH</t>
  </si>
  <si>
    <t xml:space="preserve">BEKOPAKA</t>
  </si>
  <si>
    <t xml:space="preserve">LE SOLEIL DES TSINGY</t>
  </si>
  <si>
    <t xml:space="preserve">OLYMPE DU BEMARAHA</t>
  </si>
  <si>
    <t xml:space="preserve">12À</t>
  </si>
  <si>
    <t xml:space="preserve">L'ORCHIDÉE DU BEMARAHA</t>
  </si>
  <si>
    <t xml:space="preserve">TSINGY LODGE DE BEMARAHA</t>
  </si>
  <si>
    <t xml:space="preserve">BELO SUR MER</t>
  </si>
  <si>
    <t xml:space="preserve">ECOLOGE MENABE</t>
  </si>
  <si>
    <t xml:space="preserve">CHEZ KATIA</t>
  </si>
  <si>
    <t xml:space="preserve">MOROMBE/ ANDAVADAOKA</t>
  </si>
  <si>
    <t xml:space="preserve">LAGUNA BLU/RESORT MADAGASCAR</t>
  </si>
  <si>
    <t xml:space="preserve">128/184</t>
  </si>
  <si>
    <t xml:space="preserve">MANGA LODGE</t>
  </si>
  <si>
    <t xml:space="preserve">MIANDRIVAZO</t>
  </si>
  <si>
    <t xml:space="preserve">EDEN DE LA TSIRIBIHINA</t>
  </si>
  <si>
    <t xml:space="preserve">PRINCESSE TSIRIBIHINA</t>
  </si>
  <si>
    <t xml:space="preserve">MORAMANGA</t>
  </si>
  <si>
    <t xml:space="preserve">SOANALA LODGE</t>
  </si>
  <si>
    <t xml:space="preserve">INDRILODGE</t>
  </si>
  <si>
    <t xml:space="preserve">ANDASIBE</t>
  </si>
  <si>
    <t xml:space="preserve">ANDASIBE SIFAKA LODGE</t>
  </si>
  <si>
    <t xml:space="preserve">LONGOZO ECOLODGE</t>
  </si>
  <si>
    <t xml:space="preserve">AMORON'NY ALA</t>
  </si>
  <si>
    <t xml:space="preserve">EULOPHIELLA</t>
  </si>
  <si>
    <t xml:space="preserve">INDRI LODGE</t>
  </si>
  <si>
    <t xml:space="preserve">GO ANDASIBE HOTEL</t>
  </si>
  <si>
    <t xml:space="preserve">ALOÉ &amp; ROSETTE</t>
  </si>
  <si>
    <t xml:space="preserve">ANALAMAZAOTRA HOTEL</t>
  </si>
  <si>
    <t xml:space="preserve">GASYCLIMB</t>
  </si>
  <si>
    <t xml:space="preserve">FEON'ALA ANDASIBE</t>
  </si>
  <si>
    <t xml:space="preserve">VATOMANDRY</t>
  </si>
  <si>
    <t xml:space="preserve">LE SERENITY LODGE</t>
  </si>
  <si>
    <t xml:space="preserve">MAISON DES VACANCES A AMBILA</t>
  </si>
  <si>
    <t xml:space="preserve">CASADORO CHEZ KHON KHON</t>
  </si>
  <si>
    <t xml:space="preserve">VATOMANDRY BEACH</t>
  </si>
  <si>
    <t xml:space="preserve">MANAMBATO</t>
  </si>
  <si>
    <t xml:space="preserve">LES ACACIAS BUNGALOWS</t>
  </si>
  <si>
    <t xml:space="preserve">CHEZ LUIGI</t>
  </si>
  <si>
    <t xml:space="preserve">ORANIA LODGE</t>
  </si>
  <si>
    <t xml:space="preserve">AKANIN'NY NOFY</t>
  </si>
  <si>
    <t xml:space="preserve">LE PALMARIUM</t>
  </si>
  <si>
    <t xml:space="preserve">HOTEL PANGALANE JUNGLE NOFY</t>
  </si>
  <si>
    <t xml:space="preserve">NY D'ANKANIN'NY NOFY LODGE</t>
  </si>
  <si>
    <t xml:space="preserve">TAMATAVE</t>
  </si>
  <si>
    <t xml:space="preserve">CALYPSO HOTEL</t>
  </si>
  <si>
    <t xml:space="preserve">STEPHEN HOTEL</t>
  </si>
  <si>
    <t xml:space="preserve">LE MAJESTIC HOTEL TOAMASINA HOTEL</t>
  </si>
  <si>
    <t xml:space="preserve">THE STREAMLINER HOTEL APARTEMENT</t>
  </si>
  <si>
    <t xml:space="preserve">VICTORIA BEACH</t>
  </si>
  <si>
    <t xml:space="preserve">64/105</t>
  </si>
  <si>
    <t xml:space="preserve">MIAMI SUITES TAMATAVE</t>
  </si>
  <si>
    <t xml:space="preserve">HOTEL H1 TAMATAVE</t>
  </si>
  <si>
    <t xml:space="preserve">FOULPOINTE</t>
  </si>
  <si>
    <t xml:space="preserve">HOTEL LE LAGON</t>
  </si>
  <si>
    <t xml:space="preserve">CHEZ LES BODZEN</t>
  </si>
  <si>
    <t xml:space="preserve">CHARMING VILLA IN FOULPOINTE</t>
  </si>
  <si>
    <t xml:space="preserve">SAMMI'S LODGE</t>
  </si>
  <si>
    <t xml:space="preserve">LA CIGALE</t>
  </si>
  <si>
    <t xml:space="preserve">MAHAMBO</t>
  </si>
  <si>
    <t xml:space="preserve">BEACH FRONT COTTAGE</t>
  </si>
  <si>
    <t xml:space="preserve">MAHAMBO BEACH HÔTEL</t>
  </si>
  <si>
    <t xml:space="preserve">LA PIROGUE</t>
  </si>
  <si>
    <t xml:space="preserve">FENERIVE EST</t>
  </si>
  <si>
    <t xml:space="preserve">L'OASIS LODGE</t>
  </si>
  <si>
    <t xml:space="preserve">SAINTE MARIE</t>
  </si>
  <si>
    <t xml:space="preserve">PRINCESSE BORA LODGE &amp; SPA</t>
  </si>
  <si>
    <t xml:space="preserve">LE REPAIRE DES PIRATE</t>
  </si>
  <si>
    <t xml:space="preserve">LIBERTALIA HÔTEL</t>
  </si>
  <si>
    <t xml:space="preserve">SAMARIA LODGE</t>
  </si>
  <si>
    <t xml:space="preserve">BORAHA LODGE ECOLODGE</t>
  </si>
  <si>
    <t xml:space="preserve">HOTEL ECOLODGE LE RAVORAHA</t>
  </si>
  <si>
    <t xml:space="preserve">MANTIS SOANAMBO HOTEL&amp;SPA</t>
  </si>
  <si>
    <t xml:space="preserve">LE COCO BEACH</t>
  </si>
  <si>
    <t xml:space="preserve">NATIORA GREEN LODGE</t>
  </si>
  <si>
    <t xml:space="preserve">SWEET GARDEN</t>
  </si>
  <si>
    <t xml:space="preserve">IDYLLE BEACH</t>
  </si>
  <si>
    <t xml:space="preserve">MAROATSETRA</t>
  </si>
  <si>
    <t xml:space="preserve">L'HIPPOCAMPE</t>
  </si>
  <si>
    <t xml:space="preserve">MASOALA BUNGALOWS</t>
  </si>
  <si>
    <t xml:space="preserve">MANGA BEACH</t>
  </si>
  <si>
    <t xml:space="preserve">MASOALA FOREST LODGE</t>
  </si>
  <si>
    <t xml:space="preserve">ANTALAHA</t>
  </si>
  <si>
    <t xml:space="preserve">VILLA MALAZA</t>
  </si>
  <si>
    <t xml:space="preserve">APPARTEMENT CENTRE VILLE ANTALAHA</t>
  </si>
  <si>
    <t xml:space="preserve">BELLE ROSE BEACH HOTEL</t>
  </si>
  <si>
    <t xml:space="preserve">SAMBAVA</t>
  </si>
  <si>
    <t xml:space="preserve">HOTEL IDENTICMG</t>
  </si>
  <si>
    <t xml:space="preserve">à  la demande</t>
  </si>
  <si>
    <t xml:space="preserve">BUNGALOW LA PIROGUE</t>
  </si>
  <si>
    <t xml:space="preserve">HOTEL MELROSE SAMBAVA</t>
  </si>
  <si>
    <t xml:space="preserve">LE JARDIN ARHULATIC SAMBAVA</t>
  </si>
  <si>
    <t xml:space="preserve">DIÉGO SUAREZ</t>
  </si>
  <si>
    <t xml:space="preserve">LE GRAND HÔTEL DIEGO</t>
  </si>
  <si>
    <t xml:space="preserve">HOTEL NAKA</t>
  </si>
  <si>
    <t xml:space="preserve">HOTEL RIZIKY</t>
  </si>
  <si>
    <t xml:space="preserve">LA BELLE AVENTURE</t>
  </si>
  <si>
    <t xml:space="preserve">RESIDENCE BEYT SALAMA</t>
  </si>
  <si>
    <t xml:space="preserve">MAISON AU BORD DE LA MER</t>
  </si>
  <si>
    <t xml:space="preserve">RESIDENCE BLEU RIVAGE</t>
  </si>
  <si>
    <t xml:space="preserve">DIÉGO HOTEL</t>
  </si>
  <si>
    <t xml:space="preserve">HOTEL DE LA BAIE</t>
  </si>
  <si>
    <t xml:space="preserve">ANKARANA</t>
  </si>
  <si>
    <t xml:space="preserve">ANKARANA LODGE</t>
  </si>
  <si>
    <t xml:space="preserve">LE RELAIS D'ANKARANA</t>
  </si>
  <si>
    <t xml:space="preserve">SOA LODGE</t>
  </si>
  <si>
    <t xml:space="preserve">ANKIFY-AMBANJA</t>
  </si>
  <si>
    <t xml:space="preserve">ANTOREMBA LODGE</t>
  </si>
  <si>
    <t xml:space="preserve">LES JARDINS D'ANKIFY</t>
  </si>
  <si>
    <t xml:space="preserve">DIANA LODGE</t>
  </si>
  <si>
    <t xml:space="preserve">NOSY BE</t>
  </si>
  <si>
    <t xml:space="preserve">ANJIAMARANGO BEACH RESORT</t>
  </si>
  <si>
    <t xml:space="preserve">JJ ET EUPHRASIE LODGE</t>
  </si>
  <si>
    <t xml:space="preserve">HOTEL GRAND BAY</t>
  </si>
  <si>
    <t xml:space="preserve">VILLA NOSY DETENTE</t>
  </si>
  <si>
    <t xml:space="preserve">TERRASSE D'ULYSSE</t>
  </si>
  <si>
    <t xml:space="preserve">ZEN HOTEL, NOSY BE</t>
  </si>
  <si>
    <t xml:space="preserve">CATTLEYA GUEST HOUSE</t>
  </si>
  <si>
    <t xml:space="preserve">IZIL NOSY BE</t>
  </si>
  <si>
    <t xml:space="preserve">SANGANY LODGE</t>
  </si>
  <si>
    <t xml:space="preserve">HOME THE RESIDENCE</t>
  </si>
  <si>
    <t xml:space="preserve">NOSY KOMBA</t>
  </si>
  <si>
    <t xml:space="preserve">CANOPEE LODGE</t>
  </si>
  <si>
    <t xml:space="preserve">TIKI KOMBA</t>
  </si>
  <si>
    <t xml:space="preserve">REMO E BERENICE</t>
  </si>
  <si>
    <t xml:space="preserve">KOMBA FOREVER</t>
  </si>
  <si>
    <t xml:space="preserve">HÔTEL DE RÊVE NOSY KOMBA</t>
  </si>
  <si>
    <t xml:space="preserve">NOSY SAKATIA</t>
  </si>
  <si>
    <t xml:space="preserve">SWISSCOCOBEACH</t>
  </si>
  <si>
    <t xml:space="preserve">AUBERGE SAKATI'Art</t>
  </si>
  <si>
    <t xml:space="preserve">TSARABAJINA</t>
  </si>
  <si>
    <t xml:space="preserve">CONSTANCE TSARABAJINA</t>
  </si>
  <si>
    <t xml:space="preserve">DISTANCES PARCOURUES</t>
  </si>
  <si>
    <t xml:space="preserve">TRAJET</t>
  </si>
  <si>
    <t xml:space="preserve">LOCATION DE VOITURE</t>
  </si>
  <si>
    <t xml:space="preserve">DISTANCE A PARCOURIR</t>
  </si>
  <si>
    <t xml:space="preserve">CARBURANT</t>
  </si>
  <si>
    <t xml:space="preserve">Jour</t>
  </si>
  <si>
    <t xml:space="preserve">Date</t>
  </si>
  <si>
    <t xml:space="preserve">Lieu de départ </t>
  </si>
  <si>
    <t xml:space="preserve">Lieu d'arrivé</t>
  </si>
  <si>
    <t xml:space="preserve">Prestataire</t>
  </si>
  <si>
    <t xml:space="preserve">Nombre de place</t>
  </si>
  <si>
    <t xml:space="preserve">Location par jour</t>
  </si>
  <si>
    <t xml:space="preserve">Distances étapes</t>
  </si>
  <si>
    <t xml:space="preserve">Distances visites</t>
  </si>
  <si>
    <t xml:space="preserve">Besoin en litre</t>
  </si>
  <si>
    <t xml:space="preserve">Budget carburant</t>
  </si>
  <si>
    <t xml:space="preserve">Antananarivo</t>
  </si>
  <si>
    <t xml:space="preserve">Antisrabe</t>
  </si>
  <si>
    <t xml:space="preserve">Ambositra</t>
  </si>
  <si>
    <t xml:space="preserve">COUT DE LOCATION AVEC CARBURANT</t>
  </si>
  <si>
    <t xml:space="preserve">Choisir manuellement selon sa disponibilité</t>
  </si>
  <si>
    <t xml:space="preserve">Doit être défini automatiquement selon le type de circuit et le nombre de personne</t>
  </si>
  <si>
    <t xml:space="preserve">affiché automatiquement selon le prestataire, le type de voiture, la saison et le type de circuit dans PARAMETRAGES</t>
  </si>
  <si>
    <t xml:space="preserve">Se met automatiquement depandant le lieu de départ et lieu d'arrivé</t>
  </si>
  <si>
    <t xml:space="preserve">A saisir manuellement selon lieux à visiter</t>
  </si>
  <si>
    <t xml:space="preserve">Calculer automatiquement selon la somme DISTANCE A PARCOURIR</t>
  </si>
  <si>
    <t xml:space="preserve">Calculer automatiquement selon la somme BESOIN EN LITRE par jour</t>
  </si>
  <si>
    <t xml:space="preserve">Consommation standart</t>
  </si>
  <si>
    <t xml:space="preserve">HEBERGEMENT</t>
  </si>
  <si>
    <t xml:space="preserve">RESTAURATION </t>
  </si>
  <si>
    <t xml:space="preserve">TOTAL (SELON FORMULE CHOISI)</t>
  </si>
  <si>
    <t xml:space="preserve">Nom de l'hôtel</t>
  </si>
  <si>
    <t xml:space="preserve">Type d'hebergement</t>
  </si>
  <si>
    <t xml:space="preserve">Nb de pax</t>
  </si>
  <si>
    <t xml:space="preserve">Formules</t>
  </si>
  <si>
    <t xml:space="preserve">Nb de nuité</t>
  </si>
  <si>
    <t xml:space="preserve">Ch SGL</t>
  </si>
  <si>
    <t xml:space="preserve">Ch DBL/Twin</t>
  </si>
  <si>
    <t xml:space="preserve">Familiale</t>
  </si>
  <si>
    <t xml:space="preserve">Lit Supp</t>
  </si>
  <si>
    <t xml:space="preserve">Day Use</t>
  </si>
  <si>
    <t xml:space="preserve">Vignette</t>
  </si>
  <si>
    <t xml:space="preserve">Taxe de séjour</t>
  </si>
  <si>
    <t xml:space="preserve">PD continental</t>
  </si>
  <si>
    <t xml:space="preserve">Déjeuner</t>
  </si>
  <si>
    <t xml:space="preserve">Diner</t>
  </si>
  <si>
    <t xml:space="preserve">BED AND BREAKFAST</t>
  </si>
  <si>
    <t xml:space="preserve">HALF BOARD</t>
  </si>
  <si>
    <t xml:space="preserve">FULL BOARD</t>
  </si>
  <si>
    <t xml:space="preserve">Half Board</t>
  </si>
  <si>
    <t xml:space="preserve">TOTAUX</t>
  </si>
  <si>
    <t xml:space="preserve">TOTAL HEBERGEMENT</t>
  </si>
  <si>
    <t xml:space="preserve">SOMME RESTAURATION</t>
  </si>
  <si>
    <t xml:space="preserve">S'affiche automatiquement après saisie du TRAJET dans la partie TRANSPORTS</t>
  </si>
  <si>
    <t xml:space="preserve">A choisir parmi la liste fourni en fonction du lieu d'arrivé, Une fois le nom du Lieu d'arrivé est affiché, la liste doit etre limité par le nom de cette localité mais en aucun cas contenir la lsite d'hôtel des autres localités,</t>
  </si>
  <si>
    <t xml:space="preserve">SOMME TOTALE HOTEL &amp; RESTO</t>
  </si>
  <si>
    <t xml:space="preserve">Dépend de l'hotel choisi selon la demande des clients,</t>
  </si>
  <si>
    <t xml:space="preserve">Affiché automatiquement en fonction de ce qui est saisi dans INFOS CLIENTS</t>
  </si>
  <si>
    <t xml:space="preserve">Selon choix du clients, Doit etre défini dans PARAMETRAGE est doit être bloqué dans cette partie HOTEL &amp; RESTO, Ou supprimer cette colonne,</t>
  </si>
  <si>
    <t xml:space="preserve">D'habitude, une nuitée par jour mais pour eviter d'écrire 1 nuitée par jour pour certaines destinations, on peut directement choisr la durée sur la première "NOMBRE DE NUITE"</t>
  </si>
  <si>
    <t xml:space="preserve">TRES IMPORTANT</t>
  </si>
  <si>
    <t xml:space="preserve">Dans la partie hebergement, tous les tarifs s'affichent mais le calcui se fait automatiquement selon choix de FORMULE dans PARAMETRAGE.</t>
  </si>
  <si>
    <t xml:space="preserve">Encore dans la partie hebergement, en complément à ce qui est ecris dessus, la REPARTITION des chambres doivent être rempli selon le "rooming list" dans la demande du client,</t>
  </si>
  <si>
    <t xml:space="preserve">Dans la partie RESTAURATION, même choses, les tarifs doivent être affiché mais  le calcul doit être effectué en fonction de FORMULE.</t>
  </si>
  <si>
    <t xml:space="preserve">FORFAIT</t>
  </si>
  <si>
    <t xml:space="preserve">PRESTATAIRES</t>
  </si>
  <si>
    <t xml:space="preserve">DESIGNATION</t>
  </si>
  <si>
    <t xml:space="preserve">MONTANT</t>
  </si>
  <si>
    <t xml:space="preserve">QUANTITE</t>
  </si>
  <si>
    <t xml:space="preserve">TOTAL</t>
  </si>
  <si>
    <t xml:space="preserve">Tour de ville</t>
  </si>
  <si>
    <t xml:space="preserve">ORTANA</t>
  </si>
  <si>
    <t xml:space="preserve">Visite Rova Manjakamiadana</t>
  </si>
  <si>
    <t xml:space="preserve">nb de client</t>
  </si>
  <si>
    <t xml:space="preserve">PRESTATIONS</t>
  </si>
  <si>
    <t xml:space="preserve">TARIF PAR PAX</t>
  </si>
  <si>
    <t xml:space="preserve">Visite</t>
  </si>
  <si>
    <t xml:space="preserve">MNP</t>
  </si>
  <si>
    <t xml:space="preserve">Droit d'entrée Grand tour Tsingy de Bemaraha (1 à 4personnes)</t>
  </si>
  <si>
    <t xml:space="preserve">Excurion</t>
  </si>
  <si>
    <t xml:space="preserve">Frais de guidage Grand tour Tsingy de Bemaraha</t>
  </si>
  <si>
    <t xml:space="preserve">Ville de départ</t>
  </si>
  <si>
    <t xml:space="preserve">Ville d'arrivée</t>
  </si>
  <si>
    <t xml:space="preserve">Colonne1</t>
  </si>
  <si>
    <t xml:space="preserve">Tarif Adulte</t>
  </si>
  <si>
    <t xml:space="preserve">Tarif Bébé</t>
  </si>
  <si>
    <t xml:space="preserve">REPERES</t>
  </si>
  <si>
    <t xml:space="preserve">KM PARTIEL</t>
  </si>
  <si>
    <t xml:space="preserve">KM TOTAL</t>
  </si>
  <si>
    <t xml:space="preserve">DUREE</t>
  </si>
  <si>
    <t xml:space="preserve">ANTANANARIVO AXE OUEST ET LITTORAL OUEST</t>
  </si>
  <si>
    <t xml:space="preserve">ANTANANARIVO COTE EST</t>
  </si>
  <si>
    <t xml:space="preserve">ANTSIRANANA ET SES ENVIRONS</t>
  </si>
  <si>
    <t xml:space="preserve">ANTSIRANANA</t>
  </si>
  <si>
    <t xml:space="preserve">MAROZEVO</t>
  </si>
  <si>
    <t xml:space="preserve">ANIVORANO</t>
  </si>
  <si>
    <t xml:space="preserve">30mn</t>
  </si>
  <si>
    <t xml:space="preserve">AMBILOBE</t>
  </si>
  <si>
    <t xml:space="preserve">BELO SUR TSIRIBIHINA</t>
  </si>
  <si>
    <t xml:space="preserve">AMPASIMANOLOTRA</t>
  </si>
  <si>
    <t xml:space="preserve">AMBANJA</t>
  </si>
  <si>
    <t xml:space="preserve">TOAMASINA</t>
  </si>
  <si>
    <t xml:space="preserve">ANKIFY</t>
  </si>
  <si>
    <t xml:space="preserve">45mn</t>
  </si>
  <si>
    <t xml:space="preserve">MANJA</t>
  </si>
  <si>
    <t xml:space="preserve">MONTAGNE D'AMBRE</t>
  </si>
  <si>
    <t xml:space="preserve">MOROMBE</t>
  </si>
  <si>
    <t xml:space="preserve">MAHAVELONA</t>
  </si>
  <si>
    <t xml:space="preserve">ANDAVADAOKA</t>
  </si>
  <si>
    <t xml:space="preserve">RAMENA</t>
  </si>
  <si>
    <t xml:space="preserve">SOANIERANA IVONGO</t>
  </si>
  <si>
    <t xml:space="preserve">TOLIARY</t>
  </si>
  <si>
    <t xml:space="preserve">ANTANANARIVO AXE SUD</t>
  </si>
  <si>
    <t xml:space="preserve">ANTANANARIVO NORD OUEST</t>
  </si>
  <si>
    <t xml:space="preserve">SAVA ANTSIRANANA</t>
  </si>
  <si>
    <t xml:space="preserve">ANTANANARIVO </t>
  </si>
  <si>
    <t xml:space="preserve">ANKAZOBE</t>
  </si>
  <si>
    <t xml:space="preserve">1h30</t>
  </si>
  <si>
    <t xml:space="preserve">ANDRIBA</t>
  </si>
  <si>
    <t xml:space="preserve">ANDAPA</t>
  </si>
  <si>
    <t xml:space="preserve">AMBOHIMAHASOA</t>
  </si>
  <si>
    <t xml:space="preserve">MAEVATANANA</t>
  </si>
  <si>
    <t xml:space="preserve">AMBONDROMAMY</t>
  </si>
  <si>
    <t xml:space="preserve">IHARANA</t>
  </si>
  <si>
    <t xml:space="preserve">ANKARAFANTSIKA</t>
  </si>
  <si>
    <t xml:space="preserve">MAHAJANGA</t>
  </si>
  <si>
    <t xml:space="preserve">AMBALAVAO</t>
  </si>
  <si>
    <t xml:space="preserve">ANJOHIBE</t>
  </si>
  <si>
    <t xml:space="preserve">3h30</t>
  </si>
  <si>
    <t xml:space="preserve">FIANARANTSOA COTE EST</t>
  </si>
  <si>
    <t xml:space="preserve">TULEAR LITTORAL SUD</t>
  </si>
  <si>
    <t xml:space="preserve">ANTANANARIVO MOYEN OUEST</t>
  </si>
  <si>
    <t xml:space="preserve">MAJUNGA AXE NORD</t>
  </si>
  <si>
    <t xml:space="preserve">ANDRANOVORY</t>
  </si>
  <si>
    <t xml:space="preserve">ARIVONIMAMO</t>
  </si>
  <si>
    <t xml:space="preserve">50mn</t>
  </si>
  <si>
    <t xml:space="preserve">MIARINARIVO</t>
  </si>
  <si>
    <t xml:space="preserve">MAMPIKONY</t>
  </si>
  <si>
    <t xml:space="preserve">ANALAVORY</t>
  </si>
  <si>
    <t xml:space="preserve">BORIZINY</t>
  </si>
  <si>
    <t xml:space="preserve">ANTSOHIHY</t>
  </si>
  <si>
    <t xml:space="preserve">FAUX CAP</t>
  </si>
  <si>
    <t xml:space="preserve">AMBOVOMBE</t>
  </si>
  <si>
    <t xml:space="preserve">TSIROANOMANDIDY</t>
  </si>
  <si>
    <t xml:space="preserve">AMBOASARY</t>
  </si>
  <si>
    <t xml:space="preserve">BERENTY</t>
  </si>
  <si>
    <t xml:space="preserve">TAOLAGNARO</t>
  </si>
  <si>
    <t xml:space="preserve">TOLIARY EXTREME SUD </t>
  </si>
  <si>
    <t xml:space="preserve">EJEDA</t>
  </si>
  <si>
    <t xml:space="preserve">TSIOMBE</t>
  </si>
  <si>
    <t xml:space="preserve">BELOHA </t>
  </si>
  <si>
    <t xml:space="preserve">CAP SAINTE MARIE</t>
  </si>
  <si>
    <t xml:space="preserve">EJEDA </t>
  </si>
  <si>
    <t xml:space="preserve">AMPANIHY </t>
  </si>
  <si>
    <t xml:space="preserve">BELOHA</t>
  </si>
  <si>
    <t xml:space="preserve">Dates</t>
  </si>
  <si>
    <t xml:space="preserve">Cotation par participant</t>
  </si>
  <si>
    <t xml:space="preserve">Occup. Triple</t>
  </si>
  <si>
    <t xml:space="preserve">Occup. Double</t>
  </si>
  <si>
    <t xml:space="preserve">Occup. Single</t>
  </si>
  <si>
    <t xml:space="preserve">0-2 ans</t>
  </si>
  <si>
    <t xml:space="preserve">2-6 ans</t>
  </si>
  <si>
    <t xml:space="preserve">6-12 ans</t>
  </si>
  <si>
    <t xml:space="preserve">Départ</t>
  </si>
  <si>
    <t xml:space="preserve">Frais de transport</t>
  </si>
  <si>
    <t xml:space="preserve">Retour</t>
  </si>
  <si>
    <t xml:space="preserve">Frais d'hebergement</t>
  </si>
  <si>
    <t xml:space="preserve">Nombre de participants</t>
  </si>
  <si>
    <t xml:space="preserve">Frais de visites et autres prestations</t>
  </si>
  <si>
    <t xml:space="preserve">Occup, Tiple</t>
  </si>
  <si>
    <t xml:space="preserve">Part frais collectifs</t>
  </si>
  <si>
    <t xml:space="preserve">Occup, Double</t>
  </si>
  <si>
    <t xml:space="preserve">Cout de production</t>
  </si>
  <si>
    <t xml:space="preserve">Marge HT</t>
  </si>
  <si>
    <t xml:space="preserve">Marge TVA</t>
  </si>
  <si>
    <t xml:space="preserve">Marge TTC</t>
  </si>
  <si>
    <t xml:space="preserve">Marge HT = Cout de production/Taux marge</t>
  </si>
  <si>
    <t xml:space="preserve">Prix de vente HT</t>
  </si>
  <si>
    <t xml:space="preserve">Marge TVA = Marge HT*Taux TVA</t>
  </si>
  <si>
    <t xml:space="preserve">Taux</t>
  </si>
  <si>
    <t xml:space="preserve">Prix de vente TTC</t>
  </si>
  <si>
    <t xml:space="preserve">Marge TTC = Marge HT + Marge TVA</t>
  </si>
  <si>
    <t xml:space="preserve">TVA</t>
  </si>
  <si>
    <t xml:space="preserve">Commission intermediaire</t>
  </si>
  <si>
    <t xml:space="preserve">Prix de vente HT = Cout de production + Marge HT</t>
  </si>
  <si>
    <t xml:space="preserve">Marge</t>
  </si>
  <si>
    <t xml:space="preserve">Prix de vente</t>
  </si>
  <si>
    <t xml:space="preserve">Prix de vente TTC = Cout de production + Marge TTC</t>
  </si>
  <si>
    <t xml:space="preserve">Commission Intermediaire</t>
  </si>
  <si>
    <t xml:space="preserve">Prix public par participant</t>
  </si>
  <si>
    <t xml:space="preserve">Commission intermédiaire = Prix de vente HT/Taux Commission intermediaire</t>
  </si>
  <si>
    <t xml:space="preserve">Coût de production</t>
  </si>
  <si>
    <t xml:space="preserve">Arrondi en centième</t>
  </si>
  <si>
    <t xml:space="preserve">Prix de vente = Commission intermediaire + Prix de vente TTC</t>
  </si>
  <si>
    <t xml:space="preserve">Total frais de transport</t>
  </si>
  <si>
    <t xml:space="preserve">Arrondi au millième</t>
  </si>
  <si>
    <t xml:space="preserve">Total Frais Hébergement</t>
  </si>
  <si>
    <t xml:space="preserve">Prix psychologique</t>
  </si>
  <si>
    <t xml:space="preserve">Total frais de visite</t>
  </si>
  <si>
    <t xml:space="preserve">Total frais collectif</t>
  </si>
  <si>
    <t xml:space="preserve">Rentabilité du forfait</t>
  </si>
  <si>
    <t xml:space="preserve">Vente HT</t>
  </si>
  <si>
    <t xml:space="preserve">Commmission Intermediaire</t>
  </si>
  <si>
    <t xml:space="preserve">BOUTTON Enregistrer la vente</t>
  </si>
  <si>
    <t xml:space="preserve">BOUTTON Nouvelle cotation</t>
  </si>
  <si>
    <t xml:space="preserve">Taux de Marge</t>
  </si>
</sst>
</file>

<file path=xl/styles.xml><?xml version="1.0" encoding="utf-8"?>
<styleSheet xmlns="http://schemas.openxmlformats.org/spreadsheetml/2006/main">
  <numFmts count="13">
    <numFmt numFmtId="164" formatCode="General"/>
    <numFmt numFmtId="165" formatCode="#,##0"/>
    <numFmt numFmtId="166" formatCode="0\ %"/>
    <numFmt numFmtId="167" formatCode="@&quot; :&quot;"/>
    <numFmt numFmtId="168" formatCode="dd/mm/yyyy"/>
    <numFmt numFmtId="169" formatCode="#,##0.00\ [$€-1]"/>
    <numFmt numFmtId="170" formatCode="_([$€-2]\ * #,##0.00_);_([$€-2]\ * \(#,##0.00\);_([$€-2]\ * \-??_);_(@_)"/>
    <numFmt numFmtId="171" formatCode="General"/>
    <numFmt numFmtId="172" formatCode="dd\-mmm\-yy"/>
    <numFmt numFmtId="173" formatCode="_-* #,##0.00\ _€_-;\-* #,##0.00\ _€_-;_-* \-??\ _€_-;_-@_-"/>
    <numFmt numFmtId="174" formatCode="_-* #,##0\ _€_-;\-* #,##0\ _€_-;_-* \-??\ _€_-;_-@_-"/>
    <numFmt numFmtId="175" formatCode="#,##0.00_ ;\-#,##0.00\ "/>
    <numFmt numFmtId="176" formatCode="#,##0.00"/>
  </numFmts>
  <fonts count="44">
    <font>
      <sz val="11"/>
      <color theme="1"/>
      <name val="Calibri"/>
      <family val="2"/>
      <charset val="1"/>
    </font>
    <font>
      <sz val="10"/>
      <name val="Arial"/>
      <family val="0"/>
    </font>
    <font>
      <sz val="10"/>
      <name val="Arial"/>
      <family val="0"/>
    </font>
    <font>
      <sz val="10"/>
      <name val="Arial"/>
      <family val="0"/>
    </font>
    <font>
      <b val="true"/>
      <sz val="24"/>
      <color rgb="FF999999"/>
      <name val="Proxima Nova"/>
      <family val="0"/>
      <charset val="1"/>
    </font>
    <font>
      <b val="true"/>
      <sz val="24"/>
      <color theme="0"/>
      <name val="Proxima Nova"/>
      <family val="0"/>
      <charset val="1"/>
    </font>
    <font>
      <sz val="8"/>
      <color theme="1"/>
      <name val="Proxima Nova"/>
      <family val="0"/>
      <charset val="1"/>
    </font>
    <font>
      <b val="true"/>
      <sz val="8"/>
      <color rgb="FFFF0000"/>
      <name val="Proxima Nova"/>
      <family val="0"/>
      <charset val="1"/>
    </font>
    <font>
      <sz val="8"/>
      <color theme="0"/>
      <name val="Proxima Nova"/>
      <family val="0"/>
      <charset val="1"/>
    </font>
    <font>
      <sz val="8"/>
      <color theme="0"/>
      <name val="Montserrat"/>
      <family val="3"/>
      <charset val="1"/>
    </font>
    <font>
      <b val="true"/>
      <sz val="9"/>
      <color theme="0"/>
      <name val="Proxima Nova"/>
      <family val="0"/>
      <charset val="1"/>
    </font>
    <font>
      <sz val="10"/>
      <color theme="0"/>
      <name val="Calibri"/>
      <family val="2"/>
      <charset val="1"/>
    </font>
    <font>
      <sz val="9"/>
      <color theme="0"/>
      <name val="Proxima Nova"/>
      <family val="0"/>
      <charset val="1"/>
    </font>
    <font>
      <b val="true"/>
      <sz val="10"/>
      <color rgb="FFFFFFFF"/>
      <name val="Proxima Nova"/>
      <family val="0"/>
      <charset val="1"/>
    </font>
    <font>
      <b val="true"/>
      <sz val="10"/>
      <color theme="0"/>
      <name val="Proxima Nova"/>
      <family val="0"/>
      <charset val="1"/>
    </font>
    <font>
      <sz val="9"/>
      <color theme="1"/>
      <name val="Proxima Nova"/>
      <family val="0"/>
      <charset val="1"/>
    </font>
    <font>
      <sz val="10"/>
      <color theme="0"/>
      <name val="Proxima Nova"/>
      <family val="0"/>
      <charset val="1"/>
    </font>
    <font>
      <b val="true"/>
      <sz val="9"/>
      <color rgb="FF6AA84F"/>
      <name val="Proxima Nova"/>
      <family val="0"/>
      <charset val="1"/>
    </font>
    <font>
      <sz val="8"/>
      <color theme="1"/>
      <name val="Montserrat"/>
      <family val="3"/>
      <charset val="1"/>
    </font>
    <font>
      <b val="true"/>
      <sz val="9"/>
      <color theme="1"/>
      <name val="Proxima Nova"/>
      <family val="0"/>
      <charset val="1"/>
    </font>
    <font>
      <sz val="10"/>
      <color theme="1"/>
      <name val="Calibri"/>
      <family val="2"/>
      <charset val="1"/>
    </font>
    <font>
      <b val="true"/>
      <sz val="11"/>
      <color theme="1"/>
      <name val="Calibri"/>
      <family val="2"/>
      <charset val="1"/>
    </font>
    <font>
      <i val="true"/>
      <sz val="10"/>
      <color rgb="FFFF0000"/>
      <name val="Calibri"/>
      <family val="2"/>
      <charset val="1"/>
    </font>
    <font>
      <b val="true"/>
      <sz val="11"/>
      <color theme="0"/>
      <name val="Calibri"/>
      <family val="2"/>
      <charset val="1"/>
    </font>
    <font>
      <sz val="11"/>
      <color theme="4" tint="-0.25"/>
      <name val="Calibri"/>
      <family val="2"/>
      <charset val="1"/>
    </font>
    <font>
      <sz val="10"/>
      <name val="Arial"/>
      <family val="2"/>
    </font>
    <font>
      <b val="true"/>
      <sz val="12"/>
      <color theme="1"/>
      <name val="Calibri"/>
      <family val="2"/>
      <charset val="1"/>
    </font>
    <font>
      <b val="true"/>
      <sz val="16"/>
      <color rgb="FFFFC000"/>
      <name val="Calibri"/>
      <family val="2"/>
      <charset val="1"/>
    </font>
    <font>
      <sz val="11"/>
      <color theme="0"/>
      <name val="Calibri"/>
      <family val="2"/>
      <charset val="1"/>
    </font>
    <font>
      <sz val="11"/>
      <name val="Calibri"/>
      <family val="2"/>
      <charset val="1"/>
    </font>
    <font>
      <b val="true"/>
      <sz val="11"/>
      <color rgb="FFFFFF00"/>
      <name val="Calibri"/>
      <family val="2"/>
      <charset val="1"/>
    </font>
    <font>
      <b val="true"/>
      <sz val="11"/>
      <name val="Calibri"/>
      <family val="2"/>
      <charset val="1"/>
    </font>
    <font>
      <b val="true"/>
      <sz val="14"/>
      <color theme="1"/>
      <name val="Calibri"/>
      <family val="2"/>
      <charset val="1"/>
    </font>
    <font>
      <b val="true"/>
      <sz val="14"/>
      <color theme="0"/>
      <name val="Calibri"/>
      <family val="2"/>
      <charset val="1"/>
    </font>
    <font>
      <b val="true"/>
      <sz val="20"/>
      <color theme="1"/>
      <name val="Calibri"/>
      <family val="2"/>
      <charset val="1"/>
    </font>
    <font>
      <b val="true"/>
      <sz val="18"/>
      <color theme="1"/>
      <name val="Calibri"/>
      <family val="2"/>
      <charset val="1"/>
    </font>
    <font>
      <sz val="14"/>
      <color theme="1"/>
      <name val="Calibri"/>
      <family val="2"/>
      <charset val="1"/>
    </font>
    <font>
      <sz val="12"/>
      <color theme="1"/>
      <name val="Calibri"/>
      <family val="2"/>
      <charset val="1"/>
    </font>
    <font>
      <b val="true"/>
      <sz val="14"/>
      <name val="Calibri"/>
      <family val="2"/>
      <charset val="1"/>
    </font>
    <font>
      <b val="true"/>
      <sz val="9"/>
      <color theme="0"/>
      <name val="Segoe UI Light"/>
      <family val="2"/>
      <charset val="1"/>
    </font>
    <font>
      <b val="true"/>
      <sz val="8"/>
      <name val="Segoe UI Light"/>
      <family val="2"/>
      <charset val="1"/>
    </font>
    <font>
      <b val="true"/>
      <sz val="9"/>
      <name val="Segoe UI Light"/>
      <family val="2"/>
      <charset val="1"/>
    </font>
    <font>
      <sz val="8"/>
      <name val="Segoe UI Light"/>
      <family val="2"/>
      <charset val="1"/>
    </font>
    <font>
      <sz val="8"/>
      <color theme="0"/>
      <name val="Segoe UI Light"/>
      <family val="2"/>
      <charset val="1"/>
    </font>
  </fonts>
  <fills count="26">
    <fill>
      <patternFill patternType="none"/>
    </fill>
    <fill>
      <patternFill patternType="gray125"/>
    </fill>
    <fill>
      <patternFill patternType="solid">
        <fgColor rgb="FFF3F3F3"/>
        <bgColor rgb="FFF2F2F2"/>
      </patternFill>
    </fill>
    <fill>
      <patternFill patternType="solid">
        <fgColor rgb="FFFBFBFB"/>
        <bgColor rgb="FFFFFFFF"/>
      </patternFill>
    </fill>
    <fill>
      <patternFill patternType="solid">
        <fgColor rgb="FF6AA84F"/>
        <bgColor rgb="FF999999"/>
      </patternFill>
    </fill>
    <fill>
      <patternFill patternType="solid">
        <fgColor theme="0"/>
        <bgColor rgb="FFFBFBFB"/>
      </patternFill>
    </fill>
    <fill>
      <patternFill patternType="solid">
        <fgColor theme="8" tint="0.7999"/>
        <bgColor rgb="FFDCE6F2"/>
      </patternFill>
    </fill>
    <fill>
      <patternFill patternType="solid">
        <fgColor theme="0" tint="-0.15"/>
        <bgColor rgb="FFDCE6F2"/>
      </patternFill>
    </fill>
    <fill>
      <patternFill patternType="solid">
        <fgColor theme="4" tint="0.7999"/>
        <bgColor rgb="FFDBEEF4"/>
      </patternFill>
    </fill>
    <fill>
      <patternFill patternType="solid">
        <fgColor rgb="FFFFFF00"/>
        <bgColor rgb="FFFFC000"/>
      </patternFill>
    </fill>
    <fill>
      <patternFill patternType="solid">
        <fgColor theme="6" tint="0.7999"/>
        <bgColor rgb="FFF2F2F2"/>
      </patternFill>
    </fill>
    <fill>
      <patternFill patternType="solid">
        <fgColor theme="9" tint="0.7999"/>
        <bgColor rgb="FFEBF1DE"/>
      </patternFill>
    </fill>
    <fill>
      <patternFill patternType="solid">
        <fgColor theme="0" tint="-0.35"/>
        <bgColor rgb="FF999999"/>
      </patternFill>
    </fill>
    <fill>
      <patternFill patternType="solid">
        <fgColor theme="1"/>
        <bgColor rgb="FF003300"/>
      </patternFill>
    </fill>
    <fill>
      <patternFill patternType="solid">
        <fgColor theme="6" tint="0.3999"/>
        <bgColor rgb="FFBFBFBF"/>
      </patternFill>
    </fill>
    <fill>
      <patternFill patternType="solid">
        <fgColor theme="9" tint="0.3999"/>
        <bgColor rgb="FFFCD5B5"/>
      </patternFill>
    </fill>
    <fill>
      <patternFill patternType="solid">
        <fgColor rgb="FF00B050"/>
        <bgColor rgb="FF33CC33"/>
      </patternFill>
    </fill>
    <fill>
      <patternFill patternType="solid">
        <fgColor theme="3" tint="0.7999"/>
        <bgColor rgb="FFD9D9D9"/>
      </patternFill>
    </fill>
    <fill>
      <patternFill patternType="solid">
        <fgColor theme="9" tint="0.5999"/>
        <bgColor rgb="FFFDEADA"/>
      </patternFill>
    </fill>
    <fill>
      <patternFill patternType="solid">
        <fgColor rgb="FF99FF99"/>
        <bgColor rgb="FFC3D69B"/>
      </patternFill>
    </fill>
    <fill>
      <patternFill patternType="solid">
        <fgColor rgb="FFFF0000"/>
        <bgColor rgb="FF993300"/>
      </patternFill>
    </fill>
    <fill>
      <patternFill patternType="solid">
        <fgColor rgb="FF9999FF"/>
        <bgColor rgb="FFA6A6A6"/>
      </patternFill>
    </fill>
    <fill>
      <patternFill patternType="solid">
        <fgColor rgb="FF0070C0"/>
        <bgColor rgb="FF008080"/>
      </patternFill>
    </fill>
    <fill>
      <patternFill patternType="solid">
        <fgColor rgb="FF33CC33"/>
        <bgColor rgb="FF00B050"/>
      </patternFill>
    </fill>
    <fill>
      <patternFill patternType="solid">
        <fgColor rgb="FF66CCFF"/>
        <bgColor rgb="FF9999FF"/>
      </patternFill>
    </fill>
    <fill>
      <patternFill patternType="solid">
        <fgColor theme="0" tint="-0.05"/>
        <bgColor rgb="FFF3F3F3"/>
      </patternFill>
    </fill>
  </fills>
  <borders count="39">
    <border diagonalUp="false" diagonalDown="false">
      <left/>
      <right/>
      <top/>
      <bottom/>
      <diagonal/>
    </border>
    <border diagonalUp="false" diagonalDown="false">
      <left/>
      <right style="thick">
        <color rgb="FFD9D9D9"/>
      </right>
      <top/>
      <bottom style="dotted"/>
      <diagonal/>
    </border>
    <border diagonalUp="false" diagonalDown="false">
      <left/>
      <right/>
      <top/>
      <bottom style="dotted"/>
      <diagonal/>
    </border>
    <border diagonalUp="false" diagonalDown="false">
      <left/>
      <right style="thick">
        <color rgb="FFD9D9D9"/>
      </right>
      <top/>
      <bottom/>
      <diagonal/>
    </border>
    <border diagonalUp="false" diagonalDown="false">
      <left style="thin">
        <color theme="0"/>
      </left>
      <right/>
      <top style="thin">
        <color rgb="FFD9D9D9"/>
      </top>
      <bottom style="thin">
        <color rgb="FFD9D9D9"/>
      </bottom>
      <diagonal/>
    </border>
    <border diagonalUp="false" diagonalDown="false">
      <left/>
      <right/>
      <top style="thin">
        <color rgb="FFD9D9D9"/>
      </top>
      <bottom style="thin">
        <color rgb="FFD9D9D9"/>
      </bottom>
      <diagonal/>
    </border>
    <border diagonalUp="false" diagonalDown="false">
      <left/>
      <right style="thin">
        <color theme="0"/>
      </right>
      <top style="thin">
        <color rgb="FFD9D9D9"/>
      </top>
      <bottom style="thin">
        <color rgb="FFD9D9D9"/>
      </bottom>
      <diagonal/>
    </border>
    <border diagonalUp="false" diagonalDown="false">
      <left style="thin">
        <color theme="0"/>
      </left>
      <right/>
      <top/>
      <bottom/>
      <diagonal/>
    </border>
    <border diagonalUp="false" diagonalDown="false">
      <left style="thick">
        <color rgb="FFD9D9D9"/>
      </left>
      <right style="thin">
        <color theme="0"/>
      </right>
      <top/>
      <bottom/>
      <diagonal/>
    </border>
    <border diagonalUp="false" diagonalDown="false">
      <left style="thin">
        <color theme="0"/>
      </left>
      <right/>
      <top style="thin">
        <color theme="0"/>
      </top>
      <bottom style="thin">
        <color rgb="FFD9D9D9"/>
      </bottom>
      <diagonal/>
    </border>
    <border diagonalUp="false" diagonalDown="false">
      <left/>
      <right style="thin">
        <color theme="0"/>
      </right>
      <top style="thin">
        <color theme="0"/>
      </top>
      <bottom style="thin">
        <color rgb="FFD9D9D9"/>
      </bottom>
      <diagonal/>
    </border>
    <border diagonalUp="false" diagonalDown="false">
      <left/>
      <right style="thin">
        <color theme="0"/>
      </right>
      <top/>
      <bottom/>
      <diagonal/>
    </border>
    <border diagonalUp="false" diagonalDown="false">
      <left/>
      <right style="thin">
        <color theme="0"/>
      </right>
      <top/>
      <bottom style="thin">
        <color rgb="FFD9D9D9"/>
      </bottom>
      <diagonal/>
    </border>
    <border diagonalUp="false" diagonalDown="false">
      <left style="thin">
        <color theme="0"/>
      </left>
      <right style="thin">
        <color theme="0"/>
      </right>
      <top style="thin">
        <color rgb="FFD9D9D9"/>
      </top>
      <bottom style="thin">
        <color rgb="FFD9D9D9"/>
      </bottom>
      <diagonal/>
    </border>
    <border diagonalUp="false" diagonalDown="false">
      <left style="thin">
        <color theme="0"/>
      </left>
      <right/>
      <top/>
      <bottom style="thin">
        <color theme="0"/>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rgb="FFD9D9D9"/>
      </left>
      <right/>
      <top/>
      <bottom style="thin">
        <color rgb="FFD9D9D9"/>
      </bottom>
      <diagonal/>
    </border>
    <border diagonalUp="false" diagonalDown="false">
      <left style="thin">
        <color rgb="FFD9D9D9"/>
      </left>
      <right style="thin">
        <color theme="0"/>
      </right>
      <top style="thin">
        <color rgb="FFD9D9D9"/>
      </top>
      <bottom/>
      <diagonal/>
    </border>
    <border diagonalUp="false" diagonalDown="false">
      <left/>
      <right style="thin">
        <color theme="0"/>
      </right>
      <top style="thin">
        <color rgb="FFD9D9D9"/>
      </top>
      <bottom/>
      <diagonal/>
    </border>
    <border diagonalUp="false" diagonalDown="false">
      <left style="thin">
        <color rgb="FFD9D9D9"/>
      </left>
      <right style="thin">
        <color theme="0"/>
      </right>
      <top/>
      <bottom/>
      <diagonal/>
    </border>
    <border diagonalUp="false" diagonalDown="false">
      <left style="thin">
        <color rgb="FFD9D9D9"/>
      </left>
      <right style="thin">
        <color theme="0"/>
      </right>
      <top/>
      <bottom style="thin">
        <color rgb="FFD9D9D9"/>
      </bottom>
      <diagonal/>
    </border>
    <border diagonalUp="false" diagonalDown="false">
      <left/>
      <right/>
      <top/>
      <bottom style="thin">
        <color theme="1"/>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right style="thin"/>
      <top/>
      <bottom/>
      <diagonal/>
    </border>
    <border diagonalUp="false" diagonalDown="false">
      <left/>
      <right/>
      <top/>
      <bottom style="thin">
        <color theme="0" tint="-0.25"/>
      </bottom>
      <diagonal/>
    </border>
    <border diagonalUp="false" diagonalDown="false">
      <left/>
      <right style="thin">
        <color theme="0" tint="-0.25"/>
      </right>
      <top/>
      <bottom/>
      <diagonal/>
    </border>
    <border diagonalUp="false" diagonalDown="false">
      <left/>
      <right/>
      <top style="thin">
        <color theme="0" tint="-0.25"/>
      </top>
      <bottom style="thin">
        <color theme="0" tint="-0.25"/>
      </bottom>
      <diagonal/>
    </border>
    <border diagonalUp="false" diagonalDown="false">
      <left/>
      <right style="thin">
        <color theme="0"/>
      </right>
      <top style="thin">
        <color theme="0" tint="-0.25"/>
      </top>
      <bottom style="thin">
        <color theme="0" tint="-0.25"/>
      </bottom>
      <diagonal/>
    </border>
    <border diagonalUp="false" diagonalDown="false">
      <left style="thin">
        <color theme="0"/>
      </left>
      <right/>
      <top style="thin">
        <color theme="0" tint="-0.25"/>
      </top>
      <bottom style="thin">
        <color theme="0" tint="-0.25"/>
      </bottom>
      <diagonal/>
    </border>
    <border diagonalUp="false" diagonalDown="false">
      <left/>
      <right style="thin">
        <color theme="0" tint="-0.25"/>
      </right>
      <top style="thin">
        <color theme="0" tint="-0.25"/>
      </top>
      <bottom style="thin">
        <color theme="0" tint="-0.25"/>
      </bottom>
      <diagonal/>
    </border>
    <border diagonalUp="false" diagonalDown="false">
      <left/>
      <right style="thin">
        <color theme="0" tint="-0.25"/>
      </right>
      <top/>
      <bottom style="thin">
        <color theme="0" tint="-0.25"/>
      </bottom>
      <diagonal/>
    </border>
    <border diagonalUp="false" diagonalDown="false">
      <left style="thin">
        <color theme="0" tint="-0.25"/>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3" fontId="0"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cellStyleXfs>
  <cellXfs count="2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2"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false" applyAlignment="true" applyProtection="false">
      <alignment horizontal="center" vertical="center" textRotation="0" wrapText="false" indent="0" shrinkToFit="false"/>
      <protection locked="true" hidden="false"/>
    </xf>
    <xf numFmtId="164" fontId="6" fillId="3" borderId="3"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5"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7" fillId="3" borderId="0"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center" vertical="center" textRotation="0" wrapText="false" indent="0" shrinkToFit="false"/>
      <protection locked="true" hidden="false"/>
    </xf>
    <xf numFmtId="164" fontId="14" fillId="0" borderId="4" xfId="0" applyFont="true" applyBorder="true" applyAlignment="true" applyProtection="false">
      <alignment horizontal="center" vertical="center" textRotation="0" wrapText="false" indent="0" shrinkToFit="false"/>
      <protection locked="true" hidden="false"/>
    </xf>
    <xf numFmtId="165" fontId="10" fillId="0" borderId="5" xfId="0" applyFont="true" applyBorder="true" applyAlignment="true" applyProtection="false">
      <alignment horizontal="center" vertical="center" textRotation="0" wrapText="false" indent="0" shrinkToFit="false"/>
      <protection locked="true" hidden="false"/>
    </xf>
    <xf numFmtId="165" fontId="10" fillId="0" borderId="4"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7" fontId="15" fillId="3" borderId="0" xfId="0" applyFont="true" applyBorder="false" applyAlignment="true" applyProtection="false">
      <alignment horizontal="right" vertical="center" textRotation="0" wrapText="false" indent="0" shrinkToFit="false"/>
      <protection locked="true" hidden="false"/>
    </xf>
    <xf numFmtId="164" fontId="15" fillId="3"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8" fillId="0" borderId="8" xfId="0" applyFont="true" applyBorder="true" applyAlignment="true" applyProtection="false">
      <alignment horizontal="general" vertical="center" textRotation="0" wrapText="false" indent="0" shrinkToFit="false"/>
      <protection locked="true" hidden="false"/>
    </xf>
    <xf numFmtId="164" fontId="14" fillId="0" borderId="5" xfId="0" applyFont="true" applyBorder="true" applyAlignment="true" applyProtection="false">
      <alignment horizontal="center" vertical="center" textRotation="0" wrapText="false" indent="0" shrinkToFit="false"/>
      <protection locked="true" hidden="false"/>
    </xf>
    <xf numFmtId="165" fontId="10" fillId="0" borderId="6" xfId="0" applyFont="true" applyBorder="true" applyAlignment="true" applyProtection="false">
      <alignment horizontal="center" vertical="center" textRotation="0" wrapText="false" indent="0" shrinkToFit="false"/>
      <protection locked="true" hidden="false"/>
    </xf>
    <xf numFmtId="165" fontId="10" fillId="0" borderId="9" xfId="0" applyFont="true" applyBorder="true" applyAlignment="true" applyProtection="false">
      <alignment horizontal="center" vertical="center" textRotation="0" wrapText="false" indent="0" shrinkToFit="false"/>
      <protection locked="true" hidden="false"/>
    </xf>
    <xf numFmtId="166" fontId="10" fillId="0" borderId="10" xfId="0" applyFont="true" applyBorder="true" applyAlignment="true" applyProtection="false">
      <alignment horizontal="center" vertical="center" textRotation="0" wrapText="false" indent="0" shrinkToFit="false"/>
      <protection locked="true" hidden="false"/>
    </xf>
    <xf numFmtId="165" fontId="10" fillId="0" borderId="10" xfId="0" applyFont="true" applyBorder="true" applyAlignment="true" applyProtection="false">
      <alignment horizontal="center" vertical="center"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8" fillId="0" borderId="11" xfId="0" applyFont="true" applyBorder="true" applyAlignment="true" applyProtection="false">
      <alignment horizontal="general" vertical="center" textRotation="0" wrapText="false" indent="0" shrinkToFit="false"/>
      <protection locked="true" hidden="false"/>
    </xf>
    <xf numFmtId="164" fontId="12" fillId="0" borderId="11" xfId="0" applyFont="true" applyBorder="true" applyAlignment="true" applyProtection="false">
      <alignment horizontal="general" vertical="center" textRotation="0" wrapText="false" indent="0" shrinkToFit="false"/>
      <protection locked="true" hidden="false"/>
    </xf>
    <xf numFmtId="168" fontId="15" fillId="3" borderId="0" xfId="0" applyFont="true" applyBorder="false" applyAlignment="true" applyProtection="false">
      <alignment horizontal="left" vertical="center" textRotation="0" wrapText="false" indent="0" shrinkToFit="false"/>
      <protection locked="true" hidden="false"/>
    </xf>
    <xf numFmtId="164" fontId="17" fillId="3" borderId="0" xfId="0" applyFont="true" applyBorder="true" applyAlignment="true" applyProtection="false">
      <alignment horizontal="center" vertical="center" textRotation="0" wrapText="false" indent="0" shrinkToFit="false"/>
      <protection locked="true" hidden="false"/>
    </xf>
    <xf numFmtId="164" fontId="11" fillId="0" borderId="7" xfId="0" applyFont="true" applyBorder="true" applyAlignment="true" applyProtection="false">
      <alignment horizontal="general" vertical="center" textRotation="0" wrapText="false" indent="0" shrinkToFit="false"/>
      <protection locked="true" hidden="false"/>
    </xf>
    <xf numFmtId="164" fontId="12" fillId="0" borderId="12" xfId="0" applyFont="true" applyBorder="true" applyAlignment="true" applyProtection="false">
      <alignment horizontal="general" vertical="center" textRotation="0" wrapText="false" indent="0" shrinkToFit="false"/>
      <protection locked="true" hidden="false"/>
    </xf>
    <xf numFmtId="164" fontId="11" fillId="0" borderId="11" xfId="0" applyFont="true" applyBorder="true" applyAlignment="true" applyProtection="false">
      <alignment horizontal="general" vertical="center" textRotation="0" wrapText="false" indent="0" shrinkToFit="false"/>
      <protection locked="true" hidden="false"/>
    </xf>
    <xf numFmtId="164" fontId="10" fillId="0" borderId="13" xfId="0" applyFont="true" applyBorder="true" applyAlignment="true" applyProtection="false">
      <alignment horizontal="center" vertical="center" textRotation="0" wrapText="false" indent="0" shrinkToFit="false"/>
      <protection locked="true" hidden="false"/>
    </xf>
    <xf numFmtId="164" fontId="11" fillId="0" borderId="14" xfId="0" applyFont="true" applyBorder="true" applyAlignment="true" applyProtection="false">
      <alignment horizontal="general" vertical="center" textRotation="0" wrapText="false" indent="0" shrinkToFit="false"/>
      <protection locked="true" hidden="false"/>
    </xf>
    <xf numFmtId="164" fontId="12" fillId="0" borderId="15" xfId="0" applyFont="true" applyBorder="true" applyAlignment="true" applyProtection="false">
      <alignment horizontal="general" vertical="center" textRotation="0" wrapText="false" indent="0" shrinkToFit="false"/>
      <protection locked="true" hidden="false"/>
    </xf>
    <xf numFmtId="164" fontId="12"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center" vertical="center" textRotation="0" wrapText="false" indent="0" shrinkToFit="false"/>
      <protection locked="true" hidden="false"/>
    </xf>
    <xf numFmtId="169" fontId="10" fillId="0" borderId="19" xfId="0" applyFont="true" applyBorder="true" applyAlignment="true" applyProtection="false">
      <alignment horizontal="center" vertical="center" textRotation="0" wrapText="false" indent="0" shrinkToFit="false"/>
      <protection locked="true" hidden="false"/>
    </xf>
    <xf numFmtId="164" fontId="10" fillId="0" borderId="20" xfId="0" applyFont="true" applyBorder="true" applyAlignment="true" applyProtection="false">
      <alignment horizontal="center" vertical="center" textRotation="0" wrapText="false" indent="0" shrinkToFit="false"/>
      <protection locked="true" hidden="false"/>
    </xf>
    <xf numFmtId="169" fontId="10" fillId="0" borderId="11" xfId="0" applyFont="true" applyBorder="true" applyAlignment="true" applyProtection="false">
      <alignment horizontal="center" vertical="center" textRotation="0" wrapText="false" indent="0" shrinkToFit="false"/>
      <protection locked="true" hidden="false"/>
    </xf>
    <xf numFmtId="166" fontId="15" fillId="3" borderId="0" xfId="0" applyFont="true" applyBorder="false" applyAlignment="true" applyProtection="false">
      <alignment horizontal="left" vertical="center" textRotation="0" wrapText="false" indent="0" shrinkToFit="false"/>
      <protection locked="true" hidden="false"/>
    </xf>
    <xf numFmtId="164" fontId="10" fillId="0" borderId="21" xfId="0" applyFont="true" applyBorder="true" applyAlignment="true" applyProtection="false">
      <alignment horizontal="center" vertical="center" textRotation="0" wrapText="false" indent="0" shrinkToFit="false"/>
      <protection locked="true" hidden="false"/>
    </xf>
    <xf numFmtId="169" fontId="10" fillId="0" borderId="12"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8" fontId="0" fillId="5" borderId="0" xfId="0" applyFont="false" applyBorder="false" applyAlignment="true" applyProtection="false">
      <alignment horizontal="center" vertical="center" textRotation="0" wrapText="false" indent="0" shrinkToFit="false"/>
      <protection locked="true" hidden="false"/>
    </xf>
    <xf numFmtId="164" fontId="21" fillId="6" borderId="0" xfId="0" applyFont="true" applyBorder="true" applyAlignment="true" applyProtection="false">
      <alignment horizontal="center" vertical="center" textRotation="0" wrapText="false" indent="0" shrinkToFit="false"/>
      <protection locked="true" hidden="false"/>
    </xf>
    <xf numFmtId="164" fontId="0" fillId="5" borderId="0" xfId="0" applyFont="false" applyBorder="false" applyAlignment="true" applyProtection="false">
      <alignment horizontal="left"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3" fillId="0" borderId="22" xfId="0" applyFont="true" applyBorder="true" applyAlignment="false" applyProtection="false">
      <alignment horizontal="general" vertical="bottom" textRotation="0" wrapText="false" indent="0" shrinkToFit="false"/>
      <protection locked="true" hidden="false"/>
    </xf>
    <xf numFmtId="164" fontId="24"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4" fillId="0" borderId="22" xfId="0" applyFont="true" applyBorder="true" applyAlignment="false" applyProtection="false">
      <alignment horizontal="general" vertical="bottom"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4" fontId="26" fillId="5" borderId="23" xfId="0" applyFont="true" applyBorder="true" applyAlignment="false" applyProtection="false">
      <alignment horizontal="general" vertical="bottom" textRotation="0" wrapText="false" indent="0" shrinkToFit="false"/>
      <protection locked="true" hidden="false"/>
    </xf>
    <xf numFmtId="164" fontId="26" fillId="5" borderId="23" xfId="0" applyFont="true" applyBorder="true" applyAlignment="true" applyProtection="false">
      <alignment horizontal="center" vertical="center" textRotation="0" wrapText="false" indent="0" shrinkToFit="false"/>
      <protection locked="true" hidden="false"/>
    </xf>
    <xf numFmtId="164" fontId="26" fillId="5" borderId="23" xfId="0" applyFont="true" applyBorder="true" applyAlignment="true" applyProtection="false">
      <alignment horizontal="right" vertical="bottom" textRotation="0" wrapText="false" indent="0" shrinkToFit="false"/>
      <protection locked="true" hidden="false"/>
    </xf>
    <xf numFmtId="164" fontId="0" fillId="0" borderId="23" xfId="0" applyFont="true" applyBorder="true" applyAlignment="false" applyProtection="false">
      <alignment horizontal="general" vertical="bottom" textRotation="0" wrapText="false" indent="0" shrinkToFit="false"/>
      <protection locked="true" hidden="false"/>
    </xf>
    <xf numFmtId="164" fontId="0" fillId="0" borderId="23" xfId="0" applyFont="true" applyBorder="true" applyAlignment="true" applyProtection="false">
      <alignment horizontal="general" vertical="center" textRotation="0" wrapText="false" indent="0" shrinkToFit="false"/>
      <protection locked="true" hidden="false"/>
    </xf>
    <xf numFmtId="164" fontId="0" fillId="0" borderId="23" xfId="0" applyFont="true" applyBorder="true" applyAlignment="true" applyProtection="false">
      <alignment horizontal="center" vertical="center" textRotation="0" wrapText="false" indent="0" shrinkToFit="false"/>
      <protection locked="true" hidden="false"/>
    </xf>
    <xf numFmtId="164" fontId="0" fillId="0" borderId="23" xfId="0" applyFont="false" applyBorder="true" applyAlignment="true" applyProtection="false">
      <alignment horizontal="right" vertical="bottom" textRotation="0" wrapText="false" indent="0" shrinkToFit="false"/>
      <protection locked="true" hidden="false"/>
    </xf>
    <xf numFmtId="170" fontId="0" fillId="0" borderId="23" xfId="0" applyFont="true" applyBorder="true" applyAlignment="true" applyProtection="false">
      <alignment horizontal="center" vertical="center" textRotation="0" wrapText="false" indent="0" shrinkToFit="false"/>
      <protection locked="true" hidden="false"/>
    </xf>
    <xf numFmtId="164" fontId="0" fillId="0" borderId="23" xfId="0" applyFont="true" applyBorder="true" applyAlignment="true" applyProtection="false">
      <alignment horizontal="center" vertical="bottom" textRotation="0" wrapText="fals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21" fillId="0" borderId="23" xfId="0" applyFont="true" applyBorder="true" applyAlignment="true" applyProtection="false">
      <alignment horizontal="center" vertical="bottom" textRotation="0" wrapText="false" indent="0" shrinkToFit="false"/>
      <protection locked="true" hidden="false"/>
    </xf>
    <xf numFmtId="164" fontId="21" fillId="9" borderId="23" xfId="0" applyFont="true" applyBorder="true" applyAlignment="true" applyProtection="false">
      <alignment horizontal="center" vertical="center" textRotation="0" wrapText="false" indent="0" shrinkToFit="false"/>
      <protection locked="true" hidden="false"/>
    </xf>
    <xf numFmtId="164" fontId="21" fillId="8" borderId="24" xfId="0" applyFont="true" applyBorder="true" applyAlignment="true" applyProtection="false">
      <alignment horizontal="center" vertical="center" textRotation="0" wrapText="false" indent="0" shrinkToFit="false"/>
      <protection locked="true" hidden="false"/>
    </xf>
    <xf numFmtId="164" fontId="21" fillId="10" borderId="22" xfId="0" applyFont="true" applyBorder="true" applyAlignment="true" applyProtection="false">
      <alignment horizontal="center" vertical="center" textRotation="0" wrapText="false" indent="0" shrinkToFit="false"/>
      <protection locked="true" hidden="false"/>
    </xf>
    <xf numFmtId="164" fontId="21" fillId="11" borderId="23" xfId="0" applyFont="true" applyBorder="true" applyAlignment="true" applyProtection="false">
      <alignment horizontal="center" vertical="center" textRotation="0" wrapText="false" indent="0" shrinkToFit="false"/>
      <protection locked="true" hidden="false"/>
    </xf>
    <xf numFmtId="164" fontId="28" fillId="12" borderId="23" xfId="0" applyFont="true" applyBorder="true" applyAlignment="true" applyProtection="false">
      <alignment horizontal="center" vertical="bottom" textRotation="0" wrapText="false" indent="0" shrinkToFit="false"/>
      <protection locked="true" hidden="false"/>
    </xf>
    <xf numFmtId="164" fontId="29" fillId="12" borderId="23" xfId="0" applyFont="true" applyBorder="true" applyAlignment="true" applyProtection="false">
      <alignment horizontal="center" vertical="bottom" textRotation="0" wrapText="false" indent="0" shrinkToFit="false"/>
      <protection locked="true" hidden="false"/>
    </xf>
    <xf numFmtId="164" fontId="30" fillId="13" borderId="23" xfId="0" applyFont="true" applyBorder="true" applyAlignment="true" applyProtection="false">
      <alignment horizontal="center" vertical="bottom" textRotation="0" wrapText="false" indent="0" shrinkToFit="false"/>
      <protection locked="true" hidden="false"/>
    </xf>
    <xf numFmtId="164" fontId="31" fillId="8" borderId="23" xfId="0" applyFont="true" applyBorder="true" applyAlignment="true" applyProtection="false">
      <alignment horizontal="center" vertical="bottom" textRotation="0" wrapText="false" indent="0" shrinkToFit="false"/>
      <protection locked="true" hidden="false"/>
    </xf>
    <xf numFmtId="164" fontId="21" fillId="8" borderId="23" xfId="0" applyFont="true" applyBorder="true" applyAlignment="true" applyProtection="false">
      <alignment horizontal="center" vertical="center" textRotation="0" wrapText="false" indent="0" shrinkToFit="false"/>
      <protection locked="true" hidden="false"/>
    </xf>
    <xf numFmtId="164" fontId="29" fillId="14" borderId="23" xfId="0" applyFont="true" applyBorder="true" applyAlignment="true" applyProtection="false">
      <alignment horizontal="center" vertical="bottom" textRotation="0" wrapText="false" indent="0" shrinkToFit="false"/>
      <protection locked="true" hidden="false"/>
    </xf>
    <xf numFmtId="164" fontId="0" fillId="15" borderId="23" xfId="0" applyFont="true" applyBorder="true" applyAlignment="true" applyProtection="false">
      <alignment horizontal="center" vertical="bottom" textRotation="0" wrapText="false" indent="0" shrinkToFit="false"/>
      <protection locked="true" hidden="false"/>
    </xf>
    <xf numFmtId="164" fontId="29" fillId="15" borderId="23" xfId="0" applyFont="true" applyBorder="true" applyAlignment="true" applyProtection="false">
      <alignment horizontal="center" vertical="bottom" textRotation="0" wrapText="false" indent="0" shrinkToFit="false"/>
      <protection locked="true" hidden="false"/>
    </xf>
    <xf numFmtId="164" fontId="0" fillId="16" borderId="23" xfId="0" applyFont="false" applyBorder="true" applyAlignment="true" applyProtection="false">
      <alignment horizontal="center" vertical="bottom" textRotation="0" wrapText="false" indent="0" shrinkToFit="false"/>
      <protection locked="true" hidden="false"/>
    </xf>
    <xf numFmtId="172" fontId="0" fillId="0" borderId="23" xfId="0" applyFont="false" applyBorder="true" applyAlignment="true" applyProtection="false">
      <alignment horizontal="center" vertical="bottom" textRotation="0" wrapText="false" indent="0" shrinkToFit="false"/>
      <protection locked="true" hidden="false"/>
    </xf>
    <xf numFmtId="164" fontId="0" fillId="9" borderId="23" xfId="0" applyFont="true" applyBorder="true" applyAlignment="true" applyProtection="false">
      <alignment horizontal="center" vertical="bottom" textRotation="0" wrapText="false" indent="0" shrinkToFit="false"/>
      <protection locked="true" hidden="false"/>
    </xf>
    <xf numFmtId="174" fontId="0" fillId="0" borderId="23" xfId="15" applyFont="true" applyBorder="true" applyAlignment="false" applyProtection="false">
      <alignment horizontal="general" vertical="bottom" textRotation="0" wrapText="false" indent="0" shrinkToFit="false"/>
      <protection locked="true" hidden="false"/>
    </xf>
    <xf numFmtId="173" fontId="0" fillId="0" borderId="23" xfId="15" applyFont="true" applyBorder="true" applyAlignment="false" applyProtection="false">
      <alignment horizontal="general" vertical="bottom" textRotation="0" wrapText="false" indent="0" shrinkToFit="false"/>
      <protection locked="true" hidden="false"/>
    </xf>
    <xf numFmtId="164" fontId="0" fillId="0" borderId="25" xfId="0" applyFont="false" applyBorder="true" applyAlignment="false" applyProtection="false">
      <alignment horizontal="general" vertical="bottom" textRotation="0" wrapText="false" indent="0" shrinkToFit="false"/>
      <protection locked="true" hidden="false"/>
    </xf>
    <xf numFmtId="174" fontId="21" fillId="0" borderId="0" xfId="0" applyFont="true" applyBorder="false" applyAlignment="false" applyProtection="false">
      <alignment horizontal="general" vertical="bottom" textRotation="0" wrapText="false" indent="0" shrinkToFit="false"/>
      <protection locked="true" hidden="false"/>
    </xf>
    <xf numFmtId="172" fontId="0" fillId="9" borderId="23" xfId="0" applyFont="false" applyBorder="true" applyAlignment="true" applyProtection="false">
      <alignment horizontal="center" vertical="bottom" textRotation="0" wrapText="false" indent="0" shrinkToFit="false"/>
      <protection locked="true" hidden="false"/>
    </xf>
    <xf numFmtId="174" fontId="21" fillId="0" borderId="23"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21" fillId="0" borderId="0" xfId="0" applyFont="true" applyBorder="true" applyAlignment="true" applyProtection="false">
      <alignment horizontal="center" vertical="bottom" textRotation="0" wrapText="false" indent="0" shrinkToFit="false"/>
      <protection locked="true" hidden="false"/>
    </xf>
    <xf numFmtId="164" fontId="32" fillId="0" borderId="23" xfId="0" applyFont="true" applyBorder="true" applyAlignment="true" applyProtection="false">
      <alignment horizontal="center" vertical="center" textRotation="0" wrapText="false" indent="0" shrinkToFit="false"/>
      <protection locked="true" hidden="false"/>
    </xf>
    <xf numFmtId="174" fontId="33" fillId="16" borderId="23" xfId="0" applyFont="true" applyBorder="true" applyAlignment="true" applyProtection="false">
      <alignment horizontal="center"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34" fillId="17" borderId="23" xfId="0" applyFont="true" applyBorder="true" applyAlignment="true" applyProtection="false">
      <alignment horizontal="center" vertical="center" textRotation="0" wrapText="false" indent="0" shrinkToFit="false"/>
      <protection locked="true" hidden="false"/>
    </xf>
    <xf numFmtId="164" fontId="34" fillId="18" borderId="22" xfId="0" applyFont="true" applyBorder="true" applyAlignment="true" applyProtection="false">
      <alignment horizontal="center" vertical="center" textRotation="0" wrapText="false" indent="0" shrinkToFit="false"/>
      <protection locked="true" hidden="false"/>
    </xf>
    <xf numFmtId="164" fontId="21" fillId="19" borderId="23" xfId="0" applyFont="true" applyBorder="true" applyAlignment="true" applyProtection="false">
      <alignment horizontal="center" vertical="distributed" textRotation="0" wrapText="true" indent="0" shrinkToFit="false"/>
      <protection locked="true" hidden="false"/>
    </xf>
    <xf numFmtId="164" fontId="21" fillId="0" borderId="23" xfId="0" applyFont="true" applyBorder="true" applyAlignment="true" applyProtection="false">
      <alignment horizontal="center" vertical="center" textRotation="0" wrapText="false" indent="0" shrinkToFit="false"/>
      <protection locked="true" hidden="false"/>
    </xf>
    <xf numFmtId="164" fontId="35" fillId="0" borderId="23" xfId="0" applyFont="true" applyBorder="true" applyAlignment="false" applyProtection="false">
      <alignment horizontal="general" vertical="bottom" textRotation="0" wrapText="false" indent="0" shrinkToFit="false"/>
      <protection locked="true" hidden="false"/>
    </xf>
    <xf numFmtId="164" fontId="35" fillId="0" borderId="23" xfId="0" applyFont="true" applyBorder="true" applyAlignment="true" applyProtection="false">
      <alignment horizontal="general" vertical="center" textRotation="0" wrapText="false" indent="0" shrinkToFit="false"/>
      <protection locked="true" hidden="false"/>
    </xf>
    <xf numFmtId="164" fontId="31" fillId="7" borderId="23" xfId="0" applyFont="true" applyBorder="true" applyAlignment="true" applyProtection="false">
      <alignment horizontal="center" vertical="center" textRotation="0" wrapText="false" indent="0" shrinkToFit="false"/>
      <protection locked="true" hidden="false"/>
    </xf>
    <xf numFmtId="164" fontId="30" fillId="13" borderId="23" xfId="0" applyFont="true" applyBorder="true" applyAlignment="true" applyProtection="false">
      <alignment horizontal="center" vertical="center" textRotation="0" wrapText="false" indent="0" shrinkToFit="false"/>
      <protection locked="true" hidden="false"/>
    </xf>
    <xf numFmtId="164" fontId="29" fillId="12" borderId="23" xfId="0" applyFont="true" applyBorder="true" applyAlignment="true" applyProtection="false">
      <alignment horizontal="center" vertical="center" textRotation="0" wrapText="false" indent="0" shrinkToFit="false"/>
      <protection locked="true" hidden="false"/>
    </xf>
    <xf numFmtId="164" fontId="21" fillId="7" borderId="25" xfId="0" applyFont="true" applyBorder="true" applyAlignment="true" applyProtection="false">
      <alignment horizontal="center" vertical="center" textRotation="0" wrapText="false" indent="0" shrinkToFit="false"/>
      <protection locked="true" hidden="false"/>
    </xf>
    <xf numFmtId="164" fontId="21" fillId="7" borderId="23" xfId="0" applyFont="true" applyBorder="true" applyAlignment="true" applyProtection="false">
      <alignment horizontal="center" vertical="center" textRotation="0" wrapText="false" indent="0" shrinkToFit="false"/>
      <protection locked="true" hidden="false"/>
    </xf>
    <xf numFmtId="174" fontId="0" fillId="9" borderId="23" xfId="15" applyFont="true" applyBorder="true" applyAlignment="true" applyProtection="false">
      <alignment horizontal="center" vertical="bottom" textRotation="0" wrapText="false" indent="0" shrinkToFit="false"/>
      <protection locked="true" hidden="false"/>
    </xf>
    <xf numFmtId="164" fontId="0" fillId="0" borderId="23" xfId="0" applyFont="false" applyBorder="true" applyAlignment="true" applyProtection="false">
      <alignment horizontal="center" vertical="bottom" textRotation="0" wrapText="false" indent="0" shrinkToFit="false"/>
      <protection locked="true" hidden="false"/>
    </xf>
    <xf numFmtId="174" fontId="0" fillId="0" borderId="25" xfId="15" applyFont="true" applyBorder="true" applyAlignment="true" applyProtection="false">
      <alignment horizontal="right" vertical="bottom" textRotation="0" wrapText="false" indent="0" shrinkToFit="false"/>
      <protection locked="true" hidden="false"/>
    </xf>
    <xf numFmtId="174" fontId="36" fillId="0" borderId="25" xfId="15" applyFont="true" applyBorder="true" applyAlignment="true" applyProtection="false">
      <alignment horizontal="center" vertical="center" textRotation="0" wrapText="false" indent="0" shrinkToFit="false"/>
      <protection locked="true" hidden="false"/>
    </xf>
    <xf numFmtId="174" fontId="37" fillId="0" borderId="23" xfId="15" applyFont="true" applyBorder="true" applyAlignment="true" applyProtection="false">
      <alignment horizontal="center" vertical="bottom" textRotation="0" wrapText="false" indent="0" shrinkToFit="false"/>
      <protection locked="true" hidden="false"/>
    </xf>
    <xf numFmtId="174" fontId="0" fillId="0" borderId="23" xfId="15" applyFont="true" applyBorder="true" applyAlignment="true" applyProtection="false">
      <alignment horizontal="center" vertical="bottom" textRotation="0" wrapText="false" indent="0" shrinkToFit="false"/>
      <protection locked="true" hidden="false"/>
    </xf>
    <xf numFmtId="174" fontId="28" fillId="0" borderId="23" xfId="15" applyFont="true" applyBorder="true" applyAlignment="false" applyProtection="false">
      <alignment horizontal="general" vertical="bottom" textRotation="0" wrapText="false" indent="0" shrinkToFit="false"/>
      <protection locked="true" hidden="false"/>
    </xf>
    <xf numFmtId="174" fontId="37" fillId="0" borderId="23" xfId="15" applyFont="true" applyBorder="true" applyAlignment="false" applyProtection="false">
      <alignment horizontal="general" vertical="bottom" textRotation="0" wrapText="false" indent="0" shrinkToFit="false"/>
      <protection locked="true" hidden="false"/>
    </xf>
    <xf numFmtId="174" fontId="0" fillId="0" borderId="23" xfId="15" applyFont="true" applyBorder="true" applyAlignment="true" applyProtection="false">
      <alignment horizontal="right" vertical="bottom" textRotation="0" wrapText="false" indent="0" shrinkToFit="false"/>
      <protection locked="true" hidden="false"/>
    </xf>
    <xf numFmtId="164" fontId="31" fillId="7" borderId="23" xfId="0" applyFont="true" applyBorder="true" applyAlignment="true" applyProtection="false">
      <alignment horizontal="center" vertical="bottom" textRotation="0" wrapText="false" indent="0" shrinkToFit="false"/>
      <protection locked="true" hidden="false"/>
    </xf>
    <xf numFmtId="174" fontId="21" fillId="7" borderId="23" xfId="0" applyFont="true" applyBorder="true" applyAlignment="true" applyProtection="false">
      <alignment horizontal="center" vertical="bottom" textRotation="0" wrapText="false" indent="0" shrinkToFit="false"/>
      <protection locked="true" hidden="false"/>
    </xf>
    <xf numFmtId="164" fontId="21" fillId="7" borderId="23" xfId="0" applyFont="true" applyBorder="true" applyAlignment="true" applyProtection="false">
      <alignment horizontal="center" vertical="bottom" textRotation="0" wrapText="false" indent="0" shrinkToFit="false"/>
      <protection locked="true" hidden="false"/>
    </xf>
    <xf numFmtId="174" fontId="21" fillId="7" borderId="26" xfId="0" applyFont="true" applyBorder="true" applyAlignment="true" applyProtection="false">
      <alignment horizontal="center" vertical="bottom" textRotation="0" wrapText="false" indent="0" shrinkToFit="false"/>
      <protection locked="true" hidden="false"/>
    </xf>
    <xf numFmtId="174" fontId="28" fillId="16" borderId="23" xfId="15" applyFont="true" applyBorder="tru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15" applyFont="true" applyBorder="false" applyAlignment="false" applyProtection="false">
      <alignment horizontal="general" vertical="bottom" textRotation="0" wrapText="false" indent="0" shrinkToFit="false"/>
      <protection locked="true" hidden="false"/>
    </xf>
    <xf numFmtId="164" fontId="21" fillId="0" borderId="23" xfId="0" applyFont="true" applyBorder="true" applyAlignment="false" applyProtection="false">
      <alignment horizontal="general" vertical="bottom" textRotation="0" wrapText="false" indent="0" shrinkToFit="false"/>
      <protection locked="true" hidden="false"/>
    </xf>
    <xf numFmtId="174" fontId="21" fillId="9" borderId="23" xfId="15" applyFont="true" applyBorder="true" applyAlignment="true" applyProtection="false">
      <alignment horizontal="center" vertical="bottom" textRotation="0" wrapText="false" indent="0" shrinkToFit="false"/>
      <protection locked="true" hidden="false"/>
    </xf>
    <xf numFmtId="174" fontId="33" fillId="20" borderId="23" xfId="15" applyFont="true" applyBorder="true" applyAlignment="true" applyProtection="false">
      <alignment horizontal="center" vertical="bottom" textRotation="0" wrapText="false" indent="0" shrinkToFit="false"/>
      <protection locked="true" hidden="false"/>
    </xf>
    <xf numFmtId="174" fontId="38" fillId="0" borderId="23" xfId="15" applyFont="true" applyBorder="true" applyAlignment="true" applyProtection="false">
      <alignment horizontal="center" vertical="bottom" textRotation="0" wrapText="false" indent="0" shrinkToFit="false"/>
      <protection locked="true" hidden="false"/>
    </xf>
    <xf numFmtId="164" fontId="23" fillId="2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75" fontId="0" fillId="0" borderId="23" xfId="15" applyFont="true" applyBorder="true" applyAlignment="false" applyProtection="false">
      <alignment horizontal="general" vertical="bottom" textRotation="0" wrapText="false" indent="0" shrinkToFit="false"/>
      <protection locked="true" hidden="false"/>
    </xf>
    <xf numFmtId="175" fontId="0" fillId="0" borderId="23" xfId="0" applyFont="false" applyBorder="tru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75" fontId="0" fillId="0" borderId="0" xfId="15" applyFont="true" applyBorder="false" applyAlignment="false" applyProtection="false">
      <alignment horizontal="general" vertical="bottom" textRotation="0" wrapText="false" indent="0" shrinkToFit="false"/>
      <protection locked="true" hidden="false"/>
    </xf>
    <xf numFmtId="175"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5" fontId="29" fillId="0" borderId="0" xfId="15" applyFont="true" applyBorder="false" applyAlignment="false" applyProtection="false">
      <alignment horizontal="general" vertical="bottom" textRotation="0" wrapText="false" indent="0" shrinkToFit="false"/>
      <protection locked="true" hidden="false"/>
    </xf>
    <xf numFmtId="164" fontId="39" fillId="21" borderId="23" xfId="0" applyFont="true" applyBorder="true" applyAlignment="true" applyProtection="false">
      <alignment horizontal="center"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9" fillId="21" borderId="25" xfId="0" applyFont="true" applyBorder="true" applyAlignment="true" applyProtection="false">
      <alignment horizontal="center"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39" fillId="22" borderId="23" xfId="0" applyFont="true" applyBorder="true" applyAlignment="true" applyProtection="false">
      <alignment horizontal="center"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23" borderId="23" xfId="0" applyFont="true" applyBorder="true" applyAlignment="false" applyProtection="false">
      <alignment horizontal="general" vertical="bottom" textRotation="0" wrapText="false" indent="0" shrinkToFit="false"/>
      <protection locked="true" hidden="false"/>
    </xf>
    <xf numFmtId="164" fontId="42" fillId="0" borderId="23" xfId="0" applyFont="true" applyBorder="true" applyAlignment="false" applyProtection="false">
      <alignment horizontal="general" vertical="bottom" textRotation="0" wrapText="false" indent="0" shrinkToFit="false"/>
      <protection locked="true" hidden="false"/>
    </xf>
    <xf numFmtId="164" fontId="42" fillId="0" borderId="27" xfId="0" applyFont="true" applyBorder="true" applyAlignment="false" applyProtection="false">
      <alignment horizontal="general" vertical="bottom" textRotation="0" wrapText="false" indent="0" shrinkToFit="false"/>
      <protection locked="true" hidden="false"/>
    </xf>
    <xf numFmtId="164" fontId="42" fillId="0" borderId="23" xfId="0" applyFont="true" applyBorder="true" applyAlignment="true" applyProtection="false">
      <alignment horizontal="right" vertical="bottom" textRotation="0" wrapText="false" indent="0" shrinkToFit="false"/>
      <protection locked="true" hidden="false"/>
    </xf>
    <xf numFmtId="164" fontId="42" fillId="24" borderId="23" xfId="0" applyFont="true" applyBorder="true" applyAlignment="false" applyProtection="false">
      <alignment horizontal="general" vertical="bottom" textRotation="0" wrapText="false" indent="0" shrinkToFit="false"/>
      <protection locked="true" hidden="false"/>
    </xf>
    <xf numFmtId="164" fontId="42" fillId="0" borderId="28" xfId="0" applyFont="true" applyBorder="true" applyAlignment="false" applyProtection="false">
      <alignment horizontal="general" vertical="bottom" textRotation="0" wrapText="false" indent="0" shrinkToFit="false"/>
      <protection locked="true" hidden="false"/>
    </xf>
    <xf numFmtId="164" fontId="42" fillId="0" borderId="25" xfId="0" applyFont="true" applyBorder="true" applyAlignment="true" applyProtection="false">
      <alignment horizontal="center" vertical="bottom" textRotation="0" wrapText="false" indent="0" shrinkToFit="false"/>
      <protection locked="true" hidden="false"/>
    </xf>
    <xf numFmtId="164" fontId="42" fillId="0" borderId="29" xfId="0" applyFont="true" applyBorder="true" applyAlignment="false" applyProtection="false">
      <alignment horizontal="general" vertical="bottom" textRotation="0" wrapText="false" indent="0" shrinkToFit="false"/>
      <protection locked="true" hidden="false"/>
    </xf>
    <xf numFmtId="164" fontId="42" fillId="0" borderId="24" xfId="0" applyFont="true" applyBorder="true" applyAlignment="false" applyProtection="false">
      <alignment horizontal="general" vertical="bottom" textRotation="0" wrapText="false" indent="0" shrinkToFit="false"/>
      <protection locked="true" hidden="false"/>
    </xf>
    <xf numFmtId="164" fontId="42" fillId="0" borderId="30" xfId="0" applyFont="true" applyBorder="true" applyAlignment="true" applyProtection="false">
      <alignment horizontal="right" vertical="bottom" textRotation="0" wrapText="false" indent="0" shrinkToFit="false"/>
      <protection locked="true" hidden="false"/>
    </xf>
    <xf numFmtId="164" fontId="43" fillId="5" borderId="25" xfId="0" applyFont="true" applyBorder="true" applyAlignment="true" applyProtection="false">
      <alignment horizontal="center" vertical="bottom" textRotation="0" wrapText="false" indent="0" shrinkToFit="false"/>
      <protection locked="true" hidden="false"/>
    </xf>
    <xf numFmtId="164" fontId="42" fillId="0" borderId="25" xfId="0" applyFont="true" applyBorder="true" applyAlignment="false" applyProtection="false">
      <alignment horizontal="general" vertical="bottom" textRotation="0" wrapText="false" indent="0" shrinkToFit="false"/>
      <protection locked="true" hidden="false"/>
    </xf>
    <xf numFmtId="164" fontId="42" fillId="0" borderId="26" xfId="0" applyFont="true" applyBorder="true" applyAlignment="false" applyProtection="false">
      <alignment horizontal="general" vertical="bottom" textRotation="0" wrapText="false" indent="0" shrinkToFit="false"/>
      <protection locked="true" hidden="false"/>
    </xf>
    <xf numFmtId="164" fontId="0" fillId="5" borderId="31" xfId="0" applyFont="false" applyBorder="true" applyAlignment="false" applyProtection="false">
      <alignment horizontal="general" vertical="bottom" textRotation="0" wrapText="false" indent="0" shrinkToFit="false"/>
      <protection locked="true" hidden="false"/>
    </xf>
    <xf numFmtId="164" fontId="21" fillId="9" borderId="0" xfId="0" applyFont="true" applyBorder="true" applyAlignment="true" applyProtection="false">
      <alignment horizontal="left" vertical="center" textRotation="0" wrapText="false" indent="0" shrinkToFit="false"/>
      <protection locked="true" hidden="false"/>
    </xf>
    <xf numFmtId="164" fontId="0" fillId="5" borderId="32" xfId="0" applyFont="false" applyBorder="true" applyAlignment="false" applyProtection="false">
      <alignment horizontal="general" vertical="bottom" textRotation="0" wrapText="false" indent="0" shrinkToFit="false"/>
      <protection locked="true" hidden="false"/>
    </xf>
    <xf numFmtId="164" fontId="21" fillId="9" borderId="0" xfId="0" applyFont="true" applyBorder="true" applyAlignment="true" applyProtection="false">
      <alignment horizontal="center"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1" fillId="9" borderId="0" xfId="0" applyFont="true" applyBorder="true" applyAlignment="true" applyProtection="false">
      <alignment horizontal="center" vertical="center" textRotation="0" wrapText="false" indent="0" shrinkToFit="false"/>
      <protection locked="true" hidden="false"/>
    </xf>
    <xf numFmtId="164" fontId="31" fillId="9" borderId="32" xfId="0" applyFont="true" applyBorder="true" applyAlignment="true" applyProtection="false">
      <alignment horizontal="center" vertical="center" textRotation="0" wrapText="false" indent="0" shrinkToFit="false"/>
      <protection locked="true" hidden="false"/>
    </xf>
    <xf numFmtId="164" fontId="21" fillId="25" borderId="0" xfId="0" applyFont="true" applyBorder="false" applyAlignment="true" applyProtection="false">
      <alignment horizontal="left" vertical="center" textRotation="0" wrapText="false" indent="0" shrinkToFit="false"/>
      <protection locked="true" hidden="false"/>
    </xf>
    <xf numFmtId="164" fontId="0" fillId="25" borderId="0" xfId="0" applyFont="false" applyBorder="false" applyAlignment="false" applyProtection="false">
      <alignment horizontal="general" vertical="bottom" textRotation="0" wrapText="false" indent="0" shrinkToFit="false"/>
      <protection locked="true" hidden="false"/>
    </xf>
    <xf numFmtId="164" fontId="0" fillId="25" borderId="0" xfId="0" applyFont="true" applyBorder="true" applyAlignment="true" applyProtection="false">
      <alignment horizontal="right" vertical="center" textRotation="0" wrapText="false" indent="0" shrinkToFit="false"/>
      <protection locked="true" hidden="false"/>
    </xf>
    <xf numFmtId="164" fontId="21"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true" applyAlignment="true" applyProtection="false">
      <alignment horizontal="right" vertical="bottom" textRotation="0" wrapText="false" indent="0" shrinkToFit="false"/>
      <protection locked="true" hidden="false"/>
    </xf>
    <xf numFmtId="173" fontId="0" fillId="25" borderId="0" xfId="15" applyFont="true" applyBorder="false" applyAlignment="false" applyProtection="false">
      <alignment horizontal="general" vertical="bottom" textRotation="0" wrapText="false" indent="0" shrinkToFit="false"/>
      <protection locked="true" hidden="false"/>
    </xf>
    <xf numFmtId="164" fontId="0" fillId="25" borderId="32" xfId="0" applyFont="false" applyBorder="true" applyAlignment="false" applyProtection="false">
      <alignment horizontal="general" vertical="bottom" textRotation="0" wrapText="false" indent="0" shrinkToFit="false"/>
      <protection locked="true" hidden="false"/>
    </xf>
    <xf numFmtId="164" fontId="21" fillId="25" borderId="0" xfId="0" applyFont="true" applyBorder="false" applyAlignment="true" applyProtection="false">
      <alignment horizontal="general" vertical="center" textRotation="0" wrapText="false" indent="0" shrinkToFit="false"/>
      <protection locked="true" hidden="false"/>
    </xf>
    <xf numFmtId="164" fontId="21" fillId="9" borderId="0" xfId="0" applyFont="true" applyBorder="true" applyAlignment="true" applyProtection="false">
      <alignment horizontal="left" vertical="bottom" textRotation="0" wrapText="false" indent="0" shrinkToFit="false"/>
      <protection locked="true" hidden="false"/>
    </xf>
    <xf numFmtId="164" fontId="0" fillId="5" borderId="15" xfId="0" applyFont="true" applyBorder="true" applyAlignment="true" applyProtection="false">
      <alignment horizontal="right" vertical="bottom" textRotation="0" wrapText="false" indent="0" shrinkToFit="false"/>
      <protection locked="true" hidden="false"/>
    </xf>
    <xf numFmtId="164" fontId="21" fillId="5" borderId="33" xfId="0" applyFont="true" applyBorder="true" applyAlignment="true" applyProtection="false">
      <alignment horizontal="right" vertical="bottom" textRotation="0" wrapText="false" indent="0" shrinkToFit="false"/>
      <protection locked="true" hidden="false"/>
    </xf>
    <xf numFmtId="164" fontId="0" fillId="5" borderId="34" xfId="0" applyFont="false" applyBorder="true" applyAlignment="false" applyProtection="false">
      <alignment horizontal="general" vertical="bottom" textRotation="0" wrapText="false" indent="0" shrinkToFit="false"/>
      <protection locked="true" hidden="false"/>
    </xf>
    <xf numFmtId="173" fontId="21" fillId="25" borderId="35" xfId="15" applyFont="true" applyBorder="true" applyAlignment="false" applyProtection="false">
      <alignment horizontal="general" vertical="bottom" textRotation="0" wrapText="false" indent="0" shrinkToFit="false"/>
      <protection locked="true" hidden="false"/>
    </xf>
    <xf numFmtId="164" fontId="21" fillId="25" borderId="33" xfId="0" applyFont="true" applyBorder="true" applyAlignment="false" applyProtection="false">
      <alignment horizontal="general" vertical="bottom" textRotation="0" wrapText="false" indent="0" shrinkToFit="false"/>
      <protection locked="true" hidden="false"/>
    </xf>
    <xf numFmtId="164" fontId="21" fillId="25" borderId="36" xfId="0" applyFont="true" applyBorder="true" applyAlignment="false" applyProtection="false">
      <alignment horizontal="general" vertical="bottom" textRotation="0" wrapText="false" indent="0" shrinkToFit="false"/>
      <protection locked="true" hidden="false"/>
    </xf>
    <xf numFmtId="164" fontId="21" fillId="5" borderId="0" xfId="0" applyFont="true" applyBorder="true" applyAlignment="true" applyProtection="false">
      <alignment horizontal="right" vertical="bottom" textRotation="0" wrapText="false" indent="0" shrinkToFit="false"/>
      <protection locked="true" hidden="false"/>
    </xf>
    <xf numFmtId="173" fontId="21" fillId="25" borderId="0" xfId="15" applyFont="true" applyBorder="false" applyAlignment="false" applyProtection="false">
      <alignment horizontal="general" vertical="bottom" textRotation="0" wrapText="false" indent="0" shrinkToFit="false"/>
      <protection locked="true" hidden="false"/>
    </xf>
    <xf numFmtId="164" fontId="21" fillId="25" borderId="0" xfId="0" applyFont="true" applyBorder="false" applyAlignment="false" applyProtection="false">
      <alignment horizontal="general" vertical="bottom" textRotation="0" wrapText="false" indent="0" shrinkToFit="false"/>
      <protection locked="true" hidden="false"/>
    </xf>
    <xf numFmtId="164" fontId="21" fillId="25" borderId="32" xfId="0" applyFont="true" applyBorder="true" applyAlignment="false" applyProtection="false">
      <alignment horizontal="general" vertical="bottom" textRotation="0" wrapText="false" indent="0" shrinkToFit="false"/>
      <protection locked="true" hidden="false"/>
    </xf>
    <xf numFmtId="164" fontId="0" fillId="25" borderId="0" xfId="0" applyFont="false" applyBorder="false" applyAlignment="true" applyProtection="false">
      <alignment horizontal="right" vertical="bottom" textRotation="0" wrapText="false" indent="0" shrinkToFit="false"/>
      <protection locked="true" hidden="false"/>
    </xf>
    <xf numFmtId="166" fontId="0" fillId="5" borderId="0" xfId="19" applyFont="true" applyBorder="false" applyAlignment="true" applyProtection="false">
      <alignment horizontal="general" vertical="center" textRotation="0" wrapText="false" indent="0" shrinkToFit="false"/>
      <protection locked="true" hidden="false"/>
    </xf>
    <xf numFmtId="164" fontId="0" fillId="5" borderId="31" xfId="0" applyFont="true" applyBorder="true" applyAlignment="true" applyProtection="false">
      <alignment horizontal="right" vertical="bottom" textRotation="0" wrapText="false" indent="0" shrinkToFit="false"/>
      <protection locked="true" hidden="false"/>
    </xf>
    <xf numFmtId="173" fontId="0" fillId="25" borderId="31" xfId="15" applyFont="true" applyBorder="true" applyAlignment="false" applyProtection="false">
      <alignment horizontal="general" vertical="bottom" textRotation="0" wrapText="false" indent="0" shrinkToFit="false"/>
      <protection locked="true" hidden="false"/>
    </xf>
    <xf numFmtId="164" fontId="0" fillId="25" borderId="31" xfId="0" applyFont="false" applyBorder="true" applyAlignment="false" applyProtection="false">
      <alignment horizontal="general" vertical="bottom" textRotation="0" wrapText="false" indent="0" shrinkToFit="false"/>
      <protection locked="true" hidden="false"/>
    </xf>
    <xf numFmtId="164" fontId="0" fillId="25" borderId="37" xfId="0" applyFont="false" applyBorder="true" applyAlignment="false" applyProtection="false">
      <alignment horizontal="general" vertical="bottom" textRotation="0" wrapText="false" indent="0" shrinkToFit="false"/>
      <protection locked="true" hidden="false"/>
    </xf>
    <xf numFmtId="173" fontId="0" fillId="25" borderId="0" xfId="0" applyFont="false" applyBorder="false" applyAlignment="false" applyProtection="false">
      <alignment horizontal="general" vertical="bottom" textRotation="0" wrapText="false" indent="0" shrinkToFit="false"/>
      <protection locked="true" hidden="false"/>
    </xf>
    <xf numFmtId="164" fontId="21" fillId="9" borderId="0" xfId="0" applyFont="true" applyBorder="true" applyAlignment="true" applyProtection="false">
      <alignment horizontal="right" vertical="center" textRotation="0" wrapText="false" indent="0" shrinkToFit="false"/>
      <protection locked="true" hidden="false"/>
    </xf>
    <xf numFmtId="164" fontId="0" fillId="9" borderId="0" xfId="0" applyFont="false" applyBorder="false" applyAlignment="true" applyProtection="false">
      <alignment horizontal="general" vertical="center" textRotation="0" wrapText="false" indent="0" shrinkToFit="false"/>
      <protection locked="true" hidden="false"/>
    </xf>
    <xf numFmtId="164" fontId="21" fillId="9" borderId="0" xfId="0" applyFont="true" applyBorder="false" applyAlignment="true" applyProtection="false">
      <alignment horizontal="center" vertical="center" textRotation="0" wrapText="false" indent="0" shrinkToFit="false"/>
      <protection locked="true" hidden="false"/>
    </xf>
    <xf numFmtId="164" fontId="31" fillId="9" borderId="0" xfId="0" applyFont="true" applyBorder="false" applyAlignment="true" applyProtection="false">
      <alignment horizontal="center" vertical="center" textRotation="0" wrapText="false" indent="0" shrinkToFit="false"/>
      <protection locked="true" hidden="false"/>
    </xf>
    <xf numFmtId="164" fontId="21" fillId="5" borderId="31" xfId="0" applyFont="true" applyBorder="true" applyAlignment="true" applyProtection="false">
      <alignment horizontal="right" vertical="bottom" textRotation="0" wrapText="false" indent="0" shrinkToFit="false"/>
      <protection locked="true" hidden="false"/>
    </xf>
    <xf numFmtId="164" fontId="0" fillId="5" borderId="38" xfId="0" applyFont="false" applyBorder="true" applyAlignment="false" applyProtection="false">
      <alignment horizontal="general" vertical="bottom" textRotation="0" wrapText="false" indent="0" shrinkToFit="false"/>
      <protection locked="true" hidden="false"/>
    </xf>
    <xf numFmtId="164" fontId="21" fillId="7" borderId="0" xfId="0" applyFont="true" applyBorder="true" applyAlignment="true" applyProtection="false">
      <alignment horizontal="right" vertical="center" textRotation="0" wrapText="false" indent="0" shrinkToFit="false"/>
      <protection locked="true" hidden="false"/>
    </xf>
    <xf numFmtId="164" fontId="21" fillId="7" borderId="0" xfId="0" applyFont="true" applyBorder="false" applyAlignment="true" applyProtection="false">
      <alignment horizontal="general" vertical="center" textRotation="0" wrapText="false" indent="0" shrinkToFit="false"/>
      <protection locked="true" hidden="false"/>
    </xf>
    <xf numFmtId="164" fontId="21" fillId="25" borderId="0" xfId="0" applyFont="true" applyBorder="true" applyAlignment="true" applyProtection="false">
      <alignment horizontal="right" vertical="center" textRotation="0" wrapText="false" indent="0" shrinkToFit="false"/>
      <protection locked="true" hidden="false"/>
    </xf>
    <xf numFmtId="164" fontId="21" fillId="7"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0000"/>
        </patternFill>
      </fill>
    </dxf>
    <dxf>
      <font>
        <color rgb="FFFF0000"/>
      </font>
    </dxf>
    <dxf>
      <fill>
        <patternFill patternType="solid">
          <fgColor rgb="FFD9D9D9"/>
          <bgColor rgb="FF000000"/>
        </patternFill>
      </fill>
    </dxf>
    <dxf>
      <fill>
        <patternFill patternType="solid">
          <fgColor rgb="FFDCE6F2"/>
          <bgColor rgb="FF000000"/>
        </patternFill>
      </fill>
    </dxf>
    <dxf>
      <fill>
        <patternFill patternType="solid">
          <bgColor rgb="FF000000"/>
        </patternFill>
      </fill>
    </dxf>
    <dxf>
      <fill>
        <patternFill patternType="solid">
          <fgColor rgb="FF376092"/>
          <bgColor rgb="FF000000"/>
        </patternFill>
      </fill>
    </dxf>
    <dxf>
      <fill>
        <patternFill patternType="solid">
          <fgColor rgb="FFFFFFF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B050"/>
      <rgbColor rgb="FFBFBFBF"/>
      <rgbColor rgb="FFF3F3F3"/>
      <rgbColor rgb="FF9999FF"/>
      <rgbColor rgb="FF993366"/>
      <rgbColor rgb="FFFBFBFB"/>
      <rgbColor rgb="FFDBEEF4"/>
      <rgbColor rgb="FF660066"/>
      <rgbColor rgb="FFD9D9D9"/>
      <rgbColor rgb="FF0070C0"/>
      <rgbColor rgb="FFC6D9F1"/>
      <rgbColor rgb="FF000080"/>
      <rgbColor rgb="FFFF00FF"/>
      <rgbColor rgb="FF99FF99"/>
      <rgbColor rgb="FF00FFFF"/>
      <rgbColor rgb="FF800080"/>
      <rgbColor rgb="FF800000"/>
      <rgbColor rgb="FF008080"/>
      <rgbColor rgb="FF0000FF"/>
      <rgbColor rgb="FF00CCFF"/>
      <rgbColor rgb="FFDCE6F2"/>
      <rgbColor rgb="FFEBF1DE"/>
      <rgbColor rgb="FFFDEADA"/>
      <rgbColor rgb="FF66CCFF"/>
      <rgbColor rgb="FFFCD5B5"/>
      <rgbColor rgb="FFA6A6A6"/>
      <rgbColor rgb="FFFAC090"/>
      <rgbColor rgb="FF3366FF"/>
      <rgbColor rgb="FF33CC33"/>
      <rgbColor rgb="FFC3D69B"/>
      <rgbColor rgb="FFFFC000"/>
      <rgbColor rgb="FFF2F2F2"/>
      <rgbColor rgb="FFE46C0A"/>
      <rgbColor rgb="FF376092"/>
      <rgbColor rgb="FF999999"/>
      <rgbColor rgb="FF003366"/>
      <rgbColor rgb="FF6AA84F"/>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ables/table1.xml><?xml version="1.0" encoding="utf-8"?>
<table xmlns="http://schemas.openxmlformats.org/spreadsheetml/2006/main" id="1" name="Frais_Transport" displayName="Frais_Transport" ref="B2:F27" headerRowCount="1" totalsRowCount="0" totalsRowShown="0">
  <autoFilter ref="B2:F27"/>
  <tableColumns count="5">
    <tableColumn id="1" name="Ville de départ"/>
    <tableColumn id="2" name="Ville d'arrivée"/>
    <tableColumn id="3" name="Colonne1"/>
    <tableColumn id="4" name="Tarif Adulte"/>
    <tableColumn id="5" name="Tarif Bébé"/>
  </tableColumns>
</table>
</file>

<file path=xl/tables/table2.xml><?xml version="1.0" encoding="utf-8"?>
<table xmlns="http://schemas.openxmlformats.org/spreadsheetml/2006/main" id="2" name="Frais_Visites_Autres" displayName="Frais_Visites_Autres" ref="A3:F27" headerRowCount="1" totalsRowCount="0" totalsRowShown="0">
  <autoFilter ref="A3:F27"/>
  <tableColumns count="6">
    <tableColumn id="1" name="PRESTATIONS"/>
    <tableColumn id="2" name="PRESTATAIRES"/>
    <tableColumn id="3" name="DESIGNATION"/>
    <tableColumn id="4" name="TARIF PAR PAX" totalsRowFunction="sum"/>
    <tableColumn id="5" name="QUANTITE"/>
    <tableColumn id="6" name="TOTAL"/>
  </tableColumns>
</table>
</file>

<file path=xl/tables/table3.xml><?xml version="1.0" encoding="utf-8"?>
<table xmlns="http://schemas.openxmlformats.org/spreadsheetml/2006/main" id="3" name="Frais_Visites_Autres8" displayName="Frais_Visites_Autres8" ref="A3:F27" headerRowCount="1" totalsRowCount="0" totalsRowShown="0">
  <autoFilter ref="A3:F27"/>
  <tableColumns count="6">
    <tableColumn id="1" name="FORFAIT"/>
    <tableColumn id="2" name="PRESTATAIRES"/>
    <tableColumn id="3" name="DESIGNATION"/>
    <tableColumn id="4" name="MONTANT" totalsRowFunction="sum"/>
    <tableColumn id="5" name="QUANTITE"/>
    <tableColumn id="6" name="TOTAL"/>
  </tableColumns>
</table>
</file>

<file path=xl/tables/table4.xml><?xml version="1.0" encoding="utf-8"?>
<table xmlns="http://schemas.openxmlformats.org/spreadsheetml/2006/main" id="4" name="Tableau514" displayName="Tableau514" ref="Q4:Q11" headerRowCount="1" totalsRowCount="0" totalsRowShown="0">
  <autoFilter ref="Q4:Q11"/>
  <tableColumns count="1">
    <tableColumn id="1" name="Age Enfant"/>
  </tableColumns>
</table>
</file>

<file path=xl/tables/table5.xml><?xml version="1.0" encoding="utf-8"?>
<table xmlns="http://schemas.openxmlformats.org/spreadsheetml/2006/main" id="5" name="Tableau615" displayName="Tableau615" ref="A4:A7" headerRowCount="1" totalsRowCount="0" totalsRowShown="0">
  <autoFilter ref="A4:A7"/>
  <tableColumns count="1">
    <tableColumn id="1" name="Forfaits"/>
  </tableColumns>
</table>
</file>

<file path=xl/tables/table6.xml><?xml version="1.0" encoding="utf-8"?>
<table xmlns="http://schemas.openxmlformats.org/spreadsheetml/2006/main" id="6" name="tbl_destination13" displayName="tbl_destination13" ref="H4:I18" headerRowCount="1" totalsRowCount="0" totalsRowShown="0">
  <tableColumns count="2">
    <tableColumn id="1" name="Types de circuits"/>
    <tableColumn id="2" name="Nom du circuit"/>
  </tableColumns>
</table>
</file>

<file path=xl/tables/table7.xml><?xml version="1.0" encoding="utf-8"?>
<table xmlns="http://schemas.openxmlformats.org/spreadsheetml/2006/main" id="7" name="tbl_période3" displayName="tbl_période3" ref="C4:D7" headerRowCount="1" totalsRowCount="0" totalsRowShown="0">
  <autoFilter ref="C4:D7"/>
  <tableColumns count="2">
    <tableColumn id="1" name="Période"/>
    <tableColumn id="2" name="Code"/>
  </tableColumns>
</table>
</file>

<file path=xl/tables/table8.xml><?xml version="1.0" encoding="utf-8"?>
<table xmlns="http://schemas.openxmlformats.org/spreadsheetml/2006/main" id="8" name="tbl_type_hébergement9" displayName="tbl_type_hébergement9" ref="M4:M12" headerRowCount="1" totalsRowCount="0" totalsRowShown="0">
  <autoFilter ref="M4:M12"/>
  <tableColumns count="1">
    <tableColumn id="1" name="Type Hébergement"/>
  </tableColumns>
</table>
</file>

<file path=xl/tables/table9.xml><?xml version="1.0" encoding="utf-8"?>
<table xmlns="http://schemas.openxmlformats.org/spreadsheetml/2006/main" id="9" name="tbl_type_produit4" displayName="tbl_type_produit4" ref="F4:F11" headerRowCount="1" totalsRowCount="0" totalsRowShown="0">
  <autoFilter ref="F4:F11"/>
  <tableColumns count="1">
    <tableColumn id="1" name="Type de circuits"/>
  </tableColumns>
</table>
</file>

<file path=xl/tables/table10.xml><?xml version="1.0" encoding="utf-8"?>
<table xmlns="http://schemas.openxmlformats.org/spreadsheetml/2006/main" id="10" name="tbl_type_restauration12" displayName="tbl_type_restauration12" ref="O4:O11" headerRowCount="1" totalsRowCount="0" totalsRowShown="0">
  <autoFilter ref="O4:O11"/>
  <tableColumns count="1">
    <tableColumn id="1" name="FORMULE RESTAURATION"/>
  </tableColumns>
</table>
</file>

<file path=xl/tables/table11.xml><?xml version="1.0" encoding="utf-8"?>
<table xmlns="http://schemas.openxmlformats.org/spreadsheetml/2006/main" id="11" name="tbl_type_transport11" displayName="tbl_type_transport11" ref="K4:K7" headerRowCount="1" totalsRowCount="0" totalsRowShown="0">
  <autoFilter ref="K4:K7"/>
  <tableColumns count="1">
    <tableColumn id="1" name="Type Transport"/>
  </tableColumns>
</table>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4.xml"/><Relationship Id="rId4" Type="http://schemas.openxmlformats.org/officeDocument/2006/relationships/table" Target="../tables/table5.xml"/><Relationship Id="rId5" Type="http://schemas.openxmlformats.org/officeDocument/2006/relationships/table" Target="../tables/table6.xml"/><Relationship Id="rId6" Type="http://schemas.openxmlformats.org/officeDocument/2006/relationships/table" Target="../tables/table7.xml"/><Relationship Id="rId7" Type="http://schemas.openxmlformats.org/officeDocument/2006/relationships/table" Target="../tables/table8.xml"/><Relationship Id="rId8" Type="http://schemas.openxmlformats.org/officeDocument/2006/relationships/table" Target="../tables/table9.xml"/><Relationship Id="rId9" Type="http://schemas.openxmlformats.org/officeDocument/2006/relationships/table" Target="../tables/table10.xml"/><Relationship Id="rId10" Type="http://schemas.openxmlformats.org/officeDocument/2006/relationships/table" Target="../tables/table11.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Relationship Id="rId3"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O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F24" activeCellId="0" sqref="F24"/>
    </sheetView>
  </sheetViews>
  <sheetFormatPr defaultColWidth="10.59765625" defaultRowHeight="15" zeroHeight="false" outlineLevelRow="0" outlineLevelCol="0"/>
  <cols>
    <col collapsed="false" customWidth="true" hidden="false" outlineLevel="0" max="1" min="1" style="0" width="9"/>
    <col collapsed="false" customWidth="true" hidden="false" outlineLevel="0" max="3" min="3" style="0" width="24.29"/>
    <col collapsed="false" customWidth="true" hidden="false" outlineLevel="0" max="6" min="6" style="0" width="23.15"/>
    <col collapsed="false" customWidth="true" hidden="false" outlineLevel="0" max="7" min="7" style="0" width="20.43"/>
    <col collapsed="false" customWidth="true" hidden="false" outlineLevel="0" max="9" min="9" style="0" width="16.72"/>
    <col collapsed="false" customWidth="true" hidden="false" outlineLevel="0" max="10" min="10" style="0" width="13.71"/>
    <col collapsed="false" customWidth="true" hidden="false" outlineLevel="0" max="11" min="11" style="0" width="19.72"/>
  </cols>
  <sheetData>
    <row r="1" customFormat="false" ht="15" hidden="false" customHeight="false" outlineLevel="0" collapsed="false">
      <c r="A1" s="1" t="s">
        <v>0</v>
      </c>
      <c r="B1" s="1"/>
      <c r="C1" s="1"/>
      <c r="D1" s="1"/>
      <c r="E1" s="2" t="s">
        <v>1</v>
      </c>
      <c r="F1" s="2"/>
      <c r="G1" s="2"/>
      <c r="H1" s="2"/>
      <c r="I1" s="2"/>
      <c r="J1" s="2"/>
      <c r="K1" s="2"/>
      <c r="L1" s="2"/>
      <c r="M1" s="2"/>
      <c r="N1" s="2"/>
      <c r="O1" s="2"/>
    </row>
    <row r="2" customFormat="false" ht="15" hidden="false" customHeight="false" outlineLevel="0" collapsed="false">
      <c r="A2" s="1"/>
      <c r="B2" s="1"/>
      <c r="C2" s="1"/>
      <c r="D2" s="1"/>
      <c r="E2" s="2"/>
      <c r="F2" s="2"/>
      <c r="G2" s="2"/>
      <c r="H2" s="2"/>
      <c r="I2" s="2"/>
      <c r="J2" s="2"/>
      <c r="K2" s="2"/>
      <c r="L2" s="2"/>
      <c r="M2" s="2"/>
      <c r="N2" s="2"/>
      <c r="O2" s="2"/>
    </row>
    <row r="3" customFormat="false" ht="15" hidden="false" customHeight="false" outlineLevel="0" collapsed="false">
      <c r="A3" s="3"/>
      <c r="B3" s="4"/>
      <c r="C3" s="4"/>
      <c r="D3" s="5"/>
      <c r="E3" s="6"/>
      <c r="F3" s="7"/>
      <c r="G3" s="7"/>
      <c r="H3" s="8"/>
      <c r="I3" s="9"/>
      <c r="J3" s="8"/>
      <c r="K3" s="7"/>
      <c r="L3" s="10"/>
      <c r="M3" s="10"/>
      <c r="N3" s="6"/>
      <c r="O3" s="6"/>
    </row>
    <row r="4" customFormat="false" ht="15" hidden="false" customHeight="false" outlineLevel="0" collapsed="false">
      <c r="A4" s="3"/>
      <c r="B4" s="11" t="s">
        <v>2</v>
      </c>
      <c r="C4" s="11"/>
      <c r="D4" s="5"/>
      <c r="E4" s="6"/>
      <c r="F4" s="7"/>
      <c r="G4" s="7"/>
      <c r="H4" s="8"/>
      <c r="I4" s="9"/>
      <c r="J4" s="8"/>
      <c r="K4" s="7"/>
      <c r="L4" s="10"/>
      <c r="M4" s="10"/>
      <c r="N4" s="6"/>
      <c r="O4" s="6"/>
    </row>
    <row r="5" customFormat="false" ht="15" hidden="false" customHeight="false" outlineLevel="0" collapsed="false">
      <c r="A5" s="3"/>
      <c r="B5" s="12" t="s">
        <v>3</v>
      </c>
      <c r="C5" s="12"/>
      <c r="D5" s="5"/>
      <c r="E5" s="6"/>
      <c r="F5" s="13" t="s">
        <v>4</v>
      </c>
      <c r="G5" s="14" t="s">
        <v>5</v>
      </c>
      <c r="H5" s="15"/>
      <c r="I5" s="14"/>
      <c r="J5" s="15"/>
      <c r="K5" s="14" t="s">
        <v>6</v>
      </c>
      <c r="L5" s="16"/>
      <c r="M5" s="14" t="n">
        <f aca="false">(H5+J5)*L5</f>
        <v>0</v>
      </c>
      <c r="N5" s="14" t="n">
        <f aca="false">M5+J5+H5</f>
        <v>0</v>
      </c>
      <c r="O5" s="17"/>
    </row>
    <row r="6" customFormat="false" ht="15" hidden="false" customHeight="false" outlineLevel="0" collapsed="false">
      <c r="A6" s="3"/>
      <c r="B6" s="18" t="s">
        <v>7</v>
      </c>
      <c r="C6" s="19"/>
      <c r="D6" s="5"/>
      <c r="E6" s="6"/>
      <c r="F6" s="20"/>
      <c r="G6" s="9"/>
      <c r="H6" s="8"/>
      <c r="I6" s="9"/>
      <c r="J6" s="8"/>
      <c r="K6" s="6"/>
      <c r="L6" s="10"/>
      <c r="M6" s="10"/>
      <c r="N6" s="9"/>
      <c r="O6" s="6"/>
    </row>
    <row r="7" customFormat="false" ht="15" hidden="false" customHeight="false" outlineLevel="0" collapsed="false">
      <c r="A7" s="3"/>
      <c r="B7" s="18" t="s">
        <v>8</v>
      </c>
      <c r="C7" s="19"/>
      <c r="D7" s="5"/>
      <c r="E7" s="21"/>
      <c r="F7" s="22" t="s">
        <v>9</v>
      </c>
      <c r="G7" s="23" t="s">
        <v>10</v>
      </c>
      <c r="H7" s="14"/>
      <c r="I7" s="23"/>
      <c r="J7" s="14"/>
      <c r="K7" s="24" t="s">
        <v>6</v>
      </c>
      <c r="L7" s="25"/>
      <c r="M7" s="26" t="n">
        <f aca="false">(H7+J7)*L7</f>
        <v>0</v>
      </c>
      <c r="N7" s="23" t="n">
        <f aca="false">M7+J7+H7</f>
        <v>0</v>
      </c>
      <c r="O7" s="6"/>
    </row>
    <row r="8" customFormat="false" ht="15" hidden="false" customHeight="false" outlineLevel="0" collapsed="false">
      <c r="A8" s="3"/>
      <c r="B8" s="27"/>
      <c r="C8" s="19"/>
      <c r="D8" s="5"/>
      <c r="E8" s="21"/>
      <c r="F8" s="6"/>
      <c r="G8" s="28"/>
      <c r="H8" s="8"/>
      <c r="I8" s="28"/>
      <c r="J8" s="8"/>
      <c r="K8" s="17"/>
      <c r="L8" s="29"/>
      <c r="M8" s="29"/>
      <c r="N8" s="28"/>
      <c r="O8" s="6"/>
    </row>
    <row r="9" customFormat="false" ht="15" hidden="false" customHeight="false" outlineLevel="0" collapsed="false">
      <c r="A9" s="3"/>
      <c r="B9" s="12" t="s">
        <v>11</v>
      </c>
      <c r="C9" s="12"/>
      <c r="D9" s="5"/>
      <c r="E9" s="21"/>
      <c r="F9" s="22" t="s">
        <v>12</v>
      </c>
      <c r="G9" s="23" t="s">
        <v>13</v>
      </c>
      <c r="H9" s="14"/>
      <c r="I9" s="23" t="s">
        <v>14</v>
      </c>
      <c r="J9" s="14"/>
      <c r="K9" s="15" t="s">
        <v>6</v>
      </c>
      <c r="L9" s="16"/>
      <c r="M9" s="23" t="n">
        <f aca="false">(H9+J9)*L9</f>
        <v>0</v>
      </c>
      <c r="N9" s="23" t="n">
        <f aca="false">M9+J9+H9</f>
        <v>0</v>
      </c>
      <c r="O9" s="6"/>
    </row>
    <row r="10" customFormat="false" ht="15" hidden="false" customHeight="false" outlineLevel="0" collapsed="false">
      <c r="A10" s="3"/>
      <c r="B10" s="18" t="s">
        <v>15</v>
      </c>
      <c r="C10" s="19"/>
      <c r="D10" s="5"/>
      <c r="E10" s="21"/>
      <c r="F10" s="6"/>
      <c r="G10" s="28"/>
      <c r="H10" s="8"/>
      <c r="I10" s="28"/>
      <c r="J10" s="8"/>
      <c r="K10" s="17"/>
      <c r="L10" s="29"/>
      <c r="M10" s="29"/>
      <c r="N10" s="28"/>
      <c r="O10" s="6"/>
    </row>
    <row r="11" customFormat="false" ht="15" hidden="false" customHeight="false" outlineLevel="0" collapsed="false">
      <c r="A11" s="3"/>
      <c r="B11" s="18" t="s">
        <v>16</v>
      </c>
      <c r="C11" s="19"/>
      <c r="D11" s="5"/>
      <c r="E11" s="21"/>
      <c r="F11" s="22" t="s">
        <v>17</v>
      </c>
      <c r="G11" s="23" t="s">
        <v>18</v>
      </c>
      <c r="H11" s="14"/>
      <c r="I11" s="23"/>
      <c r="J11" s="14"/>
      <c r="K11" s="15" t="s">
        <v>6</v>
      </c>
      <c r="L11" s="16"/>
      <c r="M11" s="23" t="n">
        <f aca="false">(H11+J11)*L11</f>
        <v>0</v>
      </c>
      <c r="N11" s="23" t="n">
        <f aca="false">M11+J11+H11</f>
        <v>0</v>
      </c>
      <c r="O11" s="6"/>
    </row>
    <row r="12" customFormat="false" ht="15" hidden="false" customHeight="false" outlineLevel="0" collapsed="false">
      <c r="A12" s="3"/>
      <c r="B12" s="27"/>
      <c r="C12" s="19"/>
      <c r="D12" s="5"/>
      <c r="E12" s="21"/>
      <c r="F12" s="6"/>
      <c r="G12" s="28"/>
      <c r="H12" s="8"/>
      <c r="I12" s="28"/>
      <c r="J12" s="8"/>
      <c r="K12" s="17"/>
      <c r="L12" s="29"/>
      <c r="M12" s="29"/>
      <c r="N12" s="28"/>
      <c r="O12" s="6"/>
    </row>
    <row r="13" customFormat="false" ht="15" hidden="false" customHeight="false" outlineLevel="0" collapsed="false">
      <c r="A13" s="3"/>
      <c r="B13" s="12" t="s">
        <v>19</v>
      </c>
      <c r="C13" s="12"/>
      <c r="D13" s="5"/>
      <c r="E13" s="21"/>
      <c r="F13" s="22" t="s">
        <v>20</v>
      </c>
      <c r="G13" s="23" t="s">
        <v>21</v>
      </c>
      <c r="H13" s="14"/>
      <c r="I13" s="23"/>
      <c r="J13" s="14"/>
      <c r="K13" s="15" t="s">
        <v>6</v>
      </c>
      <c r="L13" s="16"/>
      <c r="M13" s="23" t="n">
        <f aca="false">(H13+J13)*L13</f>
        <v>0</v>
      </c>
      <c r="N13" s="23" t="n">
        <f aca="false">M13+J13+H13</f>
        <v>0</v>
      </c>
      <c r="O13" s="6"/>
    </row>
    <row r="14" customFormat="false" ht="15" hidden="false" customHeight="false" outlineLevel="0" collapsed="false">
      <c r="A14" s="3"/>
      <c r="B14" s="18" t="s">
        <v>22</v>
      </c>
      <c r="C14" s="30"/>
      <c r="D14" s="5"/>
      <c r="E14" s="21"/>
      <c r="F14" s="6"/>
      <c r="G14" s="28"/>
      <c r="H14" s="8"/>
      <c r="I14" s="28"/>
      <c r="J14" s="8"/>
      <c r="K14" s="17"/>
      <c r="L14" s="29"/>
      <c r="M14" s="29"/>
      <c r="N14" s="28"/>
      <c r="O14" s="6"/>
    </row>
    <row r="15" customFormat="false" ht="15" hidden="false" customHeight="false" outlineLevel="0" collapsed="false">
      <c r="A15" s="3"/>
      <c r="B15" s="18" t="s">
        <v>23</v>
      </c>
      <c r="C15" s="30"/>
      <c r="D15" s="5"/>
      <c r="E15" s="21"/>
      <c r="F15" s="22" t="s">
        <v>24</v>
      </c>
      <c r="G15" s="23" t="s">
        <v>25</v>
      </c>
      <c r="H15" s="14"/>
      <c r="I15" s="23"/>
      <c r="J15" s="14"/>
      <c r="K15" s="15" t="s">
        <v>6</v>
      </c>
      <c r="L15" s="16"/>
      <c r="M15" s="23" t="n">
        <f aca="false">(H15+J15)*L15</f>
        <v>0</v>
      </c>
      <c r="N15" s="23" t="n">
        <f aca="false">M15+J15+H15</f>
        <v>0</v>
      </c>
      <c r="O15" s="6"/>
    </row>
    <row r="16" customFormat="false" ht="15" hidden="false" customHeight="false" outlineLevel="0" collapsed="false">
      <c r="A16" s="3"/>
      <c r="B16" s="18" t="s">
        <v>19</v>
      </c>
      <c r="C16" s="19"/>
      <c r="D16" s="5"/>
      <c r="E16" s="21"/>
      <c r="F16" s="6"/>
      <c r="G16" s="28"/>
      <c r="H16" s="8"/>
      <c r="I16" s="28"/>
      <c r="J16" s="8"/>
      <c r="K16" s="17"/>
      <c r="L16" s="29"/>
      <c r="M16" s="29"/>
      <c r="N16" s="28"/>
      <c r="O16" s="6"/>
    </row>
    <row r="17" customFormat="false" ht="15" hidden="false" customHeight="false" outlineLevel="0" collapsed="false">
      <c r="A17" s="3"/>
      <c r="B17" s="31"/>
      <c r="C17" s="31"/>
      <c r="D17" s="5"/>
      <c r="E17" s="21"/>
      <c r="F17" s="22" t="s">
        <v>26</v>
      </c>
      <c r="G17" s="23" t="s">
        <v>27</v>
      </c>
      <c r="H17" s="14"/>
      <c r="I17" s="23"/>
      <c r="J17" s="14"/>
      <c r="K17" s="15" t="s">
        <v>6</v>
      </c>
      <c r="L17" s="16"/>
      <c r="M17" s="23" t="n">
        <f aca="false">(H17+J17)*L17</f>
        <v>0</v>
      </c>
      <c r="N17" s="23" t="n">
        <f aca="false">M17+J17+H17</f>
        <v>0</v>
      </c>
      <c r="O17" s="6"/>
    </row>
    <row r="18" customFormat="false" ht="15" hidden="false" customHeight="false" outlineLevel="0" collapsed="false">
      <c r="A18" s="3"/>
      <c r="B18" s="18" t="s">
        <v>28</v>
      </c>
      <c r="C18" s="19"/>
      <c r="D18" s="5"/>
      <c r="E18" s="21"/>
      <c r="F18" s="6"/>
      <c r="G18" s="28"/>
      <c r="H18" s="8"/>
      <c r="I18" s="28"/>
      <c r="J18" s="8"/>
      <c r="K18" s="17"/>
      <c r="L18" s="29"/>
      <c r="M18" s="29"/>
      <c r="N18" s="28"/>
      <c r="O18" s="6"/>
    </row>
    <row r="19" customFormat="false" ht="15" hidden="false" customHeight="false" outlineLevel="0" collapsed="false">
      <c r="A19" s="3"/>
      <c r="B19" s="18" t="s">
        <v>29</v>
      </c>
      <c r="C19" s="19"/>
      <c r="D19" s="5"/>
      <c r="E19" s="21"/>
      <c r="F19" s="22" t="s">
        <v>30</v>
      </c>
      <c r="G19" s="23" t="s">
        <v>31</v>
      </c>
      <c r="H19" s="14"/>
      <c r="I19" s="23"/>
      <c r="J19" s="14"/>
      <c r="K19" s="15" t="s">
        <v>6</v>
      </c>
      <c r="L19" s="16"/>
      <c r="M19" s="23" t="n">
        <f aca="false">(H19+J19)*L19</f>
        <v>0</v>
      </c>
      <c r="N19" s="23" t="n">
        <f aca="false">M19+J19+H19</f>
        <v>0</v>
      </c>
      <c r="O19" s="6"/>
    </row>
    <row r="20" customFormat="false" ht="15" hidden="false" customHeight="false" outlineLevel="0" collapsed="false">
      <c r="A20" s="3"/>
      <c r="B20" s="18" t="s">
        <v>28</v>
      </c>
      <c r="C20" s="19"/>
      <c r="D20" s="5"/>
      <c r="E20" s="21"/>
      <c r="F20" s="6"/>
      <c r="G20" s="28"/>
      <c r="H20" s="8"/>
      <c r="I20" s="28"/>
      <c r="J20" s="8"/>
      <c r="K20" s="17"/>
      <c r="L20" s="29"/>
      <c r="M20" s="29"/>
      <c r="N20" s="28"/>
      <c r="O20" s="6"/>
    </row>
    <row r="21" customFormat="false" ht="15" hidden="false" customHeight="false" outlineLevel="0" collapsed="false">
      <c r="A21" s="3"/>
      <c r="B21" s="18" t="s">
        <v>29</v>
      </c>
      <c r="C21" s="19"/>
      <c r="D21" s="5"/>
      <c r="E21" s="21"/>
      <c r="F21" s="22" t="s">
        <v>32</v>
      </c>
      <c r="G21" s="23" t="s">
        <v>33</v>
      </c>
      <c r="H21" s="14"/>
      <c r="I21" s="23"/>
      <c r="J21" s="14"/>
      <c r="K21" s="15" t="s">
        <v>6</v>
      </c>
      <c r="L21" s="16"/>
      <c r="M21" s="23" t="n">
        <f aca="false">(H21+J21)*L21</f>
        <v>0</v>
      </c>
      <c r="N21" s="23" t="n">
        <f aca="false">M21+J21+H21</f>
        <v>0</v>
      </c>
      <c r="O21" s="6"/>
    </row>
    <row r="22" customFormat="false" ht="15" hidden="false" customHeight="false" outlineLevel="0" collapsed="false">
      <c r="A22" s="3"/>
      <c r="B22" s="27"/>
      <c r="C22" s="19"/>
      <c r="D22" s="5"/>
      <c r="E22" s="6"/>
      <c r="F22" s="9"/>
      <c r="G22" s="9"/>
      <c r="H22" s="8"/>
      <c r="I22" s="9"/>
      <c r="J22" s="8"/>
      <c r="K22" s="32"/>
      <c r="L22" s="33"/>
      <c r="M22" s="29"/>
      <c r="N22" s="34"/>
      <c r="O22" s="6"/>
    </row>
    <row r="23" customFormat="false" ht="15" hidden="false" customHeight="false" outlineLevel="0" collapsed="false">
      <c r="A23" s="3"/>
      <c r="B23" s="12" t="s">
        <v>34</v>
      </c>
      <c r="C23" s="12"/>
      <c r="D23" s="5"/>
      <c r="E23" s="6"/>
      <c r="F23" s="9"/>
      <c r="G23" s="9"/>
      <c r="H23" s="9"/>
      <c r="I23" s="9"/>
      <c r="J23" s="9"/>
      <c r="K23" s="35" t="s">
        <v>35</v>
      </c>
      <c r="L23" s="35"/>
      <c r="M23" s="16" t="n">
        <v>0.3</v>
      </c>
      <c r="N23" s="23" t="n">
        <f aca="false">M23*SUM(N5:N21)</f>
        <v>0</v>
      </c>
      <c r="O23" s="6"/>
    </row>
    <row r="24" customFormat="false" ht="15" hidden="false" customHeight="false" outlineLevel="0" collapsed="false">
      <c r="A24" s="3"/>
      <c r="B24" s="18" t="s">
        <v>36</v>
      </c>
      <c r="C24" s="19"/>
      <c r="D24" s="5"/>
      <c r="E24" s="6"/>
      <c r="F24" s="9"/>
      <c r="G24" s="9"/>
      <c r="H24" s="8"/>
      <c r="I24" s="9"/>
      <c r="J24" s="8"/>
      <c r="K24" s="36"/>
      <c r="L24" s="37"/>
      <c r="M24" s="38"/>
      <c r="N24" s="34"/>
      <c r="O24" s="6"/>
    </row>
    <row r="25" customFormat="false" ht="15" hidden="false" customHeight="false" outlineLevel="0" collapsed="false">
      <c r="A25" s="3"/>
      <c r="B25" s="18" t="s">
        <v>37</v>
      </c>
      <c r="C25" s="19"/>
      <c r="D25" s="5"/>
      <c r="E25" s="6"/>
      <c r="F25" s="7"/>
      <c r="G25" s="7"/>
      <c r="H25" s="8"/>
      <c r="I25" s="9"/>
      <c r="J25" s="8"/>
      <c r="K25" s="7"/>
      <c r="L25" s="39" t="s">
        <v>38</v>
      </c>
      <c r="M25" s="39"/>
      <c r="N25" s="23" t="n">
        <f aca="false">SUM(N5:N23)</f>
        <v>0</v>
      </c>
      <c r="O25" s="6"/>
    </row>
    <row r="26" customFormat="false" ht="15" hidden="false" customHeight="false" outlineLevel="0" collapsed="false">
      <c r="A26" s="3"/>
      <c r="B26" s="18" t="s">
        <v>39</v>
      </c>
      <c r="C26" s="19"/>
      <c r="D26" s="5"/>
      <c r="E26" s="6"/>
      <c r="F26" s="7"/>
      <c r="G26" s="7"/>
      <c r="H26" s="8"/>
      <c r="I26" s="9"/>
      <c r="J26" s="8"/>
      <c r="K26" s="7"/>
      <c r="L26" s="10"/>
      <c r="M26" s="10"/>
      <c r="N26" s="40"/>
      <c r="O26" s="6"/>
    </row>
    <row r="27" customFormat="false" ht="15" hidden="false" customHeight="false" outlineLevel="0" collapsed="false">
      <c r="A27" s="3"/>
      <c r="B27" s="31"/>
      <c r="C27" s="31"/>
      <c r="D27" s="5"/>
      <c r="E27" s="6"/>
      <c r="F27" s="7"/>
      <c r="G27" s="7"/>
      <c r="H27" s="8"/>
      <c r="I27" s="9"/>
      <c r="J27" s="8"/>
      <c r="K27" s="7"/>
      <c r="L27" s="41" t="s">
        <v>40</v>
      </c>
      <c r="M27" s="41"/>
      <c r="N27" s="42" t="e">
        <f aca="false">N25/C30</f>
        <v>#DIV/0!</v>
      </c>
      <c r="O27" s="6"/>
    </row>
    <row r="28" customFormat="false" ht="15" hidden="false" customHeight="false" outlineLevel="0" collapsed="false">
      <c r="A28" s="3"/>
      <c r="B28" s="18" t="s">
        <v>41</v>
      </c>
      <c r="C28" s="19"/>
      <c r="D28" s="5"/>
      <c r="E28" s="6"/>
      <c r="F28" s="7"/>
      <c r="G28" s="7"/>
      <c r="H28" s="8"/>
      <c r="I28" s="9"/>
      <c r="J28" s="8"/>
      <c r="K28" s="7"/>
      <c r="L28" s="43" t="s">
        <v>42</v>
      </c>
      <c r="M28" s="43"/>
      <c r="N28" s="44" t="e">
        <f aca="false">N27/2</f>
        <v>#DIV/0!</v>
      </c>
      <c r="O28" s="6"/>
    </row>
    <row r="29" customFormat="false" ht="15" hidden="false" customHeight="false" outlineLevel="0" collapsed="false">
      <c r="A29" s="3"/>
      <c r="B29" s="18" t="s">
        <v>43</v>
      </c>
      <c r="C29" s="45"/>
      <c r="D29" s="5"/>
      <c r="E29" s="6"/>
      <c r="F29" s="7"/>
      <c r="G29" s="7"/>
      <c r="H29" s="8"/>
      <c r="I29" s="9"/>
      <c r="J29" s="8"/>
      <c r="K29" s="7"/>
      <c r="L29" s="43" t="s">
        <v>44</v>
      </c>
      <c r="M29" s="43"/>
      <c r="N29" s="44" t="e">
        <f aca="false">N27/2</f>
        <v>#DIV/0!</v>
      </c>
      <c r="O29" s="6"/>
    </row>
    <row r="30" customFormat="false" ht="15" hidden="false" customHeight="false" outlineLevel="0" collapsed="false">
      <c r="A30" s="3"/>
      <c r="B30" s="18" t="s">
        <v>45</v>
      </c>
      <c r="C30" s="19"/>
      <c r="D30" s="5"/>
      <c r="E30" s="6"/>
      <c r="F30" s="7"/>
      <c r="G30" s="7"/>
      <c r="H30" s="8"/>
      <c r="I30" s="9"/>
      <c r="J30" s="8"/>
      <c r="K30" s="7"/>
      <c r="L30" s="46" t="s">
        <v>46</v>
      </c>
      <c r="M30" s="46"/>
      <c r="N30" s="47" t="e">
        <f aca="false">N27/C7</f>
        <v>#DIV/0!</v>
      </c>
      <c r="O30" s="6"/>
    </row>
    <row r="31" customFormat="false" ht="15" hidden="false" customHeight="false" outlineLevel="0" collapsed="false">
      <c r="A31" s="3"/>
      <c r="B31" s="27"/>
      <c r="C31" s="19"/>
      <c r="D31" s="5"/>
      <c r="E31" s="48"/>
      <c r="F31" s="49"/>
      <c r="G31" s="49"/>
      <c r="H31" s="50"/>
      <c r="I31" s="51"/>
      <c r="J31" s="50"/>
      <c r="K31" s="49"/>
      <c r="L31" s="52"/>
      <c r="M31" s="52"/>
      <c r="N31" s="49"/>
      <c r="O31" s="48"/>
    </row>
  </sheetData>
  <mergeCells count="15">
    <mergeCell ref="A1:D2"/>
    <mergeCell ref="E1:O2"/>
    <mergeCell ref="B4:C4"/>
    <mergeCell ref="B5:C5"/>
    <mergeCell ref="B9:C9"/>
    <mergeCell ref="B13:C13"/>
    <mergeCell ref="B17:C17"/>
    <mergeCell ref="B23:C23"/>
    <mergeCell ref="K23:L23"/>
    <mergeCell ref="L25:M25"/>
    <mergeCell ref="B27:C27"/>
    <mergeCell ref="L27:M27"/>
    <mergeCell ref="L28:M28"/>
    <mergeCell ref="L29:M29"/>
    <mergeCell ref="L30:M30"/>
  </mergeCells>
  <conditionalFormatting sqref="C6:C7 C10:C11 C14:C16 C18:C21 C24:C26 C28:C30">
    <cfRule type="expression" priority="2" aboveAverage="0" equalAverage="0" bottom="0" percent="0" rank="0" text="" dxfId="0">
      <formula>LEN(TRIM(C6))=0</formula>
    </cfRule>
  </conditionalFormatting>
  <conditionalFormatting sqref="B3:C4">
    <cfRule type="expression" priority="3" aboveAverage="0" equalAverage="0" bottom="0" percent="0" rank="0" text="" dxfId="1">
      <formula>LEN(TRIM(B3))&gt;0</formula>
    </cfRule>
  </conditionalFormatting>
  <printOptions headings="false" gridLines="false" gridLinesSet="true" horizontalCentered="false" verticalCentered="false"/>
  <pageMargins left="0.25" right="0.2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2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K10" activeCellId="0" sqref="K10"/>
    </sheetView>
  </sheetViews>
  <sheetFormatPr defaultColWidth="11.57421875" defaultRowHeight="15" zeroHeight="false" outlineLevelRow="0" outlineLevelCol="0"/>
  <cols>
    <col collapsed="false" customWidth="true" hidden="false" outlineLevel="0" max="1" min="1" style="53" width="18.57"/>
    <col collapsed="false" customWidth="true" hidden="false" outlineLevel="0" max="2" min="2" style="53" width="18.29"/>
    <col collapsed="false" customWidth="false" hidden="false" outlineLevel="0" max="3" min="3" style="53" width="11.57"/>
    <col collapsed="false" customWidth="true" hidden="false" outlineLevel="0" max="4" min="4" style="53" width="23.15"/>
    <col collapsed="false" customWidth="true" hidden="false" outlineLevel="0" max="5" min="5" style="53" width="28.29"/>
    <col collapsed="false" customWidth="false" hidden="false" outlineLevel="0" max="6" min="6" style="53" width="11.57"/>
    <col collapsed="false" customWidth="true" hidden="false" outlineLevel="0" max="7" min="7" style="53" width="21.29"/>
    <col collapsed="false" customWidth="true" hidden="false" outlineLevel="0" max="8" min="8" style="53" width="17.29"/>
    <col collapsed="false" customWidth="true" hidden="false" outlineLevel="0" max="9" min="9" style="53" width="16.86"/>
    <col collapsed="false" customWidth="false" hidden="false" outlineLevel="0" max="16384" min="10" style="53" width="11.57"/>
  </cols>
  <sheetData>
    <row r="2" customFormat="false" ht="15" hidden="false" customHeight="false" outlineLevel="0" collapsed="false">
      <c r="A2" s="53" t="s">
        <v>22</v>
      </c>
      <c r="B2" s="54" t="s">
        <v>47</v>
      </c>
      <c r="C2" s="55"/>
      <c r="D2" s="55" t="s">
        <v>48</v>
      </c>
      <c r="E2" s="56" t="n">
        <f aca="true">TODAY()</f>
        <v>46059</v>
      </c>
      <c r="F2" s="55" t="s">
        <v>49</v>
      </c>
      <c r="G2" s="55"/>
      <c r="H2" s="55"/>
      <c r="I2" s="55"/>
    </row>
    <row r="4" customFormat="false" ht="25.5" hidden="false" customHeight="true" outlineLevel="0" collapsed="false">
      <c r="A4" s="57" t="s">
        <v>50</v>
      </c>
      <c r="B4" s="57"/>
      <c r="C4" s="57"/>
      <c r="D4" s="57"/>
      <c r="E4" s="57"/>
      <c r="F4" s="57"/>
      <c r="G4" s="57"/>
      <c r="H4" s="57"/>
      <c r="I4" s="57"/>
    </row>
    <row r="5" customFormat="false" ht="15" hidden="false" customHeight="false" outlineLevel="0" collapsed="false">
      <c r="A5" s="53" t="s">
        <v>51</v>
      </c>
      <c r="D5" s="53" t="s">
        <v>52</v>
      </c>
      <c r="E5" s="53" t="s">
        <v>53</v>
      </c>
    </row>
    <row r="6" customFormat="false" ht="15" hidden="false" customHeight="false" outlineLevel="0" collapsed="false">
      <c r="A6" s="53" t="s">
        <v>54</v>
      </c>
      <c r="E6" s="53" t="s">
        <v>55</v>
      </c>
    </row>
    <row r="7" customFormat="false" ht="15" hidden="false" customHeight="false" outlineLevel="0" collapsed="false">
      <c r="E7" s="53" t="s">
        <v>56</v>
      </c>
    </row>
    <row r="9" customFormat="false" ht="25.5" hidden="false" customHeight="true" outlineLevel="0" collapsed="false">
      <c r="A9" s="57" t="s">
        <v>57</v>
      </c>
      <c r="B9" s="57"/>
      <c r="C9" s="57"/>
      <c r="D9" s="57"/>
      <c r="E9" s="57"/>
      <c r="F9" s="57"/>
      <c r="G9" s="57"/>
      <c r="H9" s="57"/>
      <c r="I9" s="57"/>
    </row>
    <row r="10" customFormat="false" ht="15" hidden="false" customHeight="false" outlineLevel="0" collapsed="false">
      <c r="A10" s="53" t="s">
        <v>58</v>
      </c>
      <c r="B10" s="53" t="s">
        <v>59</v>
      </c>
      <c r="D10" s="53" t="s">
        <v>60</v>
      </c>
      <c r="E10" s="53" t="s">
        <v>61</v>
      </c>
      <c r="F10" s="58"/>
      <c r="G10" s="53" t="s">
        <v>62</v>
      </c>
      <c r="H10" s="53" t="s">
        <v>63</v>
      </c>
    </row>
    <row r="11" customFormat="false" ht="15" hidden="false" customHeight="false" outlineLevel="0" collapsed="false">
      <c r="B11" s="53" t="s">
        <v>64</v>
      </c>
      <c r="E11" s="53" t="s">
        <v>65</v>
      </c>
      <c r="H11" s="53" t="s">
        <v>66</v>
      </c>
    </row>
    <row r="12" customFormat="false" ht="15" hidden="false" customHeight="false" outlineLevel="0" collapsed="false">
      <c r="B12" s="53" t="s">
        <v>67</v>
      </c>
      <c r="E12" s="53" t="s">
        <v>68</v>
      </c>
      <c r="H12" s="53" t="s">
        <v>69</v>
      </c>
    </row>
    <row r="13" customFormat="false" ht="15" hidden="false" customHeight="false" outlineLevel="0" collapsed="false">
      <c r="E13" s="53" t="s">
        <v>70</v>
      </c>
      <c r="H13" s="53" t="s">
        <v>71</v>
      </c>
    </row>
    <row r="15" customFormat="false" ht="25.5" hidden="false" customHeight="true" outlineLevel="0" collapsed="false">
      <c r="A15" s="57" t="s">
        <v>72</v>
      </c>
      <c r="B15" s="57"/>
      <c r="C15" s="57"/>
      <c r="D15" s="57"/>
      <c r="E15" s="57"/>
      <c r="F15" s="57"/>
      <c r="G15" s="57"/>
      <c r="H15" s="57"/>
      <c r="I15" s="57"/>
    </row>
    <row r="16" customFormat="false" ht="15" hidden="false" customHeight="false" outlineLevel="0" collapsed="false">
      <c r="A16" s="53" t="s">
        <v>73</v>
      </c>
      <c r="B16" s="53" t="s">
        <v>36</v>
      </c>
      <c r="D16" s="53" t="s">
        <v>74</v>
      </c>
      <c r="G16" s="53" t="s">
        <v>75</v>
      </c>
    </row>
    <row r="18" customFormat="false" ht="25.5" hidden="false" customHeight="true" outlineLevel="0" collapsed="false">
      <c r="A18" s="57" t="s">
        <v>76</v>
      </c>
      <c r="B18" s="57"/>
      <c r="C18" s="57"/>
      <c r="D18" s="57"/>
      <c r="E18" s="57"/>
      <c r="F18" s="57"/>
      <c r="G18" s="57"/>
      <c r="H18" s="57"/>
      <c r="I18" s="57"/>
    </row>
    <row r="19" customFormat="false" ht="15" hidden="false" customHeight="false" outlineLevel="0" collapsed="false">
      <c r="A19" s="53" t="s">
        <v>77</v>
      </c>
      <c r="B19" s="53" t="s">
        <v>78</v>
      </c>
      <c r="D19" s="53" t="s">
        <v>79</v>
      </c>
      <c r="E19" s="53" t="s">
        <v>80</v>
      </c>
      <c r="G19" s="53" t="s">
        <v>81</v>
      </c>
    </row>
    <row r="20" customFormat="false" ht="15" hidden="false" customHeight="false" outlineLevel="0" collapsed="false">
      <c r="B20" s="53" t="s">
        <v>82</v>
      </c>
      <c r="E20" s="53" t="s">
        <v>83</v>
      </c>
    </row>
    <row r="21" customFormat="false" ht="15" hidden="false" customHeight="false" outlineLevel="0" collapsed="false">
      <c r="E21" s="53" t="s">
        <v>84</v>
      </c>
    </row>
    <row r="22" customFormat="false" ht="15" hidden="false" customHeight="false" outlineLevel="0" collapsed="false">
      <c r="E22" s="53" t="s">
        <v>85</v>
      </c>
    </row>
    <row r="23" customFormat="false" ht="15" hidden="false" customHeight="false" outlineLevel="0" collapsed="false">
      <c r="E23" s="53" t="s">
        <v>86</v>
      </c>
    </row>
    <row r="24" customFormat="false" ht="15" hidden="false" customHeight="false" outlineLevel="0" collapsed="false">
      <c r="E24" s="53" t="s">
        <v>87</v>
      </c>
    </row>
    <row r="25" customFormat="false" ht="15" hidden="false" customHeight="false" outlineLevel="0" collapsed="false">
      <c r="E25" s="53" t="s">
        <v>88</v>
      </c>
    </row>
  </sheetData>
  <mergeCells count="4">
    <mergeCell ref="A4:I4"/>
    <mergeCell ref="A9:I9"/>
    <mergeCell ref="A15:I15"/>
    <mergeCell ref="A18:I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2" activeCellId="0" sqref="F22"/>
    </sheetView>
  </sheetViews>
  <sheetFormatPr defaultColWidth="11.57421875" defaultRowHeight="15" zeroHeight="false" outlineLevelRow="0" outlineLevelCol="0"/>
  <cols>
    <col collapsed="false" customWidth="true" hidden="false" outlineLevel="0" max="1" min="1" style="0" width="25.71"/>
    <col collapsed="false" customWidth="true" hidden="false" outlineLevel="0" max="2" min="2" style="0" width="3.28"/>
    <col collapsed="false" customWidth="true" hidden="false" outlineLevel="0" max="3" min="3" style="0" width="25.71"/>
    <col collapsed="false" customWidth="true" hidden="false" outlineLevel="0" max="4" min="4" style="0" width="9.71"/>
    <col collapsed="false" customWidth="true" hidden="false" outlineLevel="0" max="5" min="5" style="0" width="3.28"/>
    <col collapsed="false" customWidth="true" hidden="false" outlineLevel="0" max="6" min="6" style="0" width="25.71"/>
    <col collapsed="false" customWidth="true" hidden="false" outlineLevel="0" max="7" min="7" style="0" width="3.28"/>
    <col collapsed="false" customWidth="true" hidden="false" outlineLevel="0" max="8" min="8" style="0" width="20.72"/>
    <col collapsed="false" customWidth="true" hidden="false" outlineLevel="0" max="9" min="9" style="0" width="46"/>
    <col collapsed="false" customWidth="true" hidden="false" outlineLevel="0" max="10" min="10" style="0" width="3.28"/>
    <col collapsed="false" customWidth="true" hidden="false" outlineLevel="0" max="11" min="11" style="0" width="25.71"/>
    <col collapsed="false" customWidth="true" hidden="false" outlineLevel="0" max="12" min="12" style="0" width="3.28"/>
    <col collapsed="false" customWidth="true" hidden="false" outlineLevel="0" max="13" min="13" style="0" width="25.71"/>
    <col collapsed="false" customWidth="true" hidden="false" outlineLevel="0" max="14" min="14" style="0" width="3.28"/>
    <col collapsed="false" customWidth="true" hidden="false" outlineLevel="0" max="15" min="15" style="0" width="25.71"/>
    <col collapsed="false" customWidth="true" hidden="false" outlineLevel="0" max="16" min="16" style="0" width="3.28"/>
    <col collapsed="false" customWidth="true" hidden="false" outlineLevel="0" max="17" min="17" style="0" width="25.71"/>
  </cols>
  <sheetData>
    <row r="1" customFormat="false" ht="15" hidden="false" customHeight="false" outlineLevel="0" collapsed="false">
      <c r="T1" s="59"/>
    </row>
    <row r="2" customFormat="false" ht="15" hidden="false" customHeight="false" outlineLevel="0" collapsed="false">
      <c r="T2" s="59"/>
    </row>
    <row r="4" customFormat="false" ht="15" hidden="false" customHeight="false" outlineLevel="0" collapsed="false">
      <c r="A4" s="60" t="s">
        <v>77</v>
      </c>
      <c r="C4" s="61" t="s">
        <v>58</v>
      </c>
      <c r="D4" s="61" t="s">
        <v>89</v>
      </c>
      <c r="F4" s="61" t="s">
        <v>79</v>
      </c>
      <c r="H4" s="0" t="s">
        <v>90</v>
      </c>
      <c r="I4" s="0" t="s">
        <v>81</v>
      </c>
      <c r="K4" s="61" t="s">
        <v>91</v>
      </c>
      <c r="M4" s="61" t="s">
        <v>92</v>
      </c>
      <c r="O4" s="61" t="s">
        <v>93</v>
      </c>
      <c r="Q4" s="62" t="s">
        <v>94</v>
      </c>
    </row>
    <row r="5" customFormat="false" ht="15" hidden="false" customHeight="false" outlineLevel="0" collapsed="false">
      <c r="A5" s="0" t="s">
        <v>95</v>
      </c>
      <c r="C5" s="0" t="s">
        <v>96</v>
      </c>
      <c r="D5" s="0" t="s">
        <v>97</v>
      </c>
      <c r="F5" s="0" t="s">
        <v>80</v>
      </c>
      <c r="K5" s="0" t="s">
        <v>98</v>
      </c>
      <c r="M5" s="0" t="s">
        <v>99</v>
      </c>
      <c r="O5" s="0" t="s">
        <v>63</v>
      </c>
      <c r="Q5" s="63" t="s">
        <v>100</v>
      </c>
    </row>
    <row r="6" customFormat="false" ht="15" hidden="false" customHeight="false" outlineLevel="0" collapsed="false">
      <c r="A6" s="0" t="s">
        <v>78</v>
      </c>
      <c r="C6" s="0" t="s">
        <v>101</v>
      </c>
      <c r="D6" s="0" t="s">
        <v>102</v>
      </c>
      <c r="F6" s="0" t="s">
        <v>83</v>
      </c>
      <c r="K6" s="0" t="s">
        <v>103</v>
      </c>
      <c r="M6" s="0" t="s">
        <v>104</v>
      </c>
      <c r="O6" s="0" t="s">
        <v>66</v>
      </c>
      <c r="Q6" s="64" t="s">
        <v>105</v>
      </c>
    </row>
    <row r="7" customFormat="false" ht="15" hidden="false" customHeight="false" outlineLevel="0" collapsed="false">
      <c r="C7" s="0" t="s">
        <v>106</v>
      </c>
      <c r="D7" s="0" t="s">
        <v>107</v>
      </c>
      <c r="F7" s="0" t="s">
        <v>84</v>
      </c>
      <c r="K7" s="0" t="s">
        <v>108</v>
      </c>
      <c r="M7" s="0" t="s">
        <v>109</v>
      </c>
      <c r="O7" s="0" t="s">
        <v>69</v>
      </c>
      <c r="Q7" s="63" t="s">
        <v>110</v>
      </c>
    </row>
    <row r="8" customFormat="false" ht="15" hidden="false" customHeight="false" outlineLevel="0" collapsed="false">
      <c r="F8" s="0" t="s">
        <v>85</v>
      </c>
      <c r="M8" s="0" t="s">
        <v>111</v>
      </c>
      <c r="O8" s="0" t="s">
        <v>71</v>
      </c>
      <c r="Q8" s="65" t="s">
        <v>112</v>
      </c>
    </row>
    <row r="9" customFormat="false" ht="15" hidden="false" customHeight="false" outlineLevel="0" collapsed="false">
      <c r="F9" s="0" t="s">
        <v>86</v>
      </c>
      <c r="M9" s="0" t="s">
        <v>113</v>
      </c>
      <c r="O9" s="0" t="s">
        <v>114</v>
      </c>
      <c r="Q9" s="66"/>
    </row>
    <row r="10" customFormat="false" ht="15" hidden="false" customHeight="false" outlineLevel="0" collapsed="false">
      <c r="F10" s="0" t="s">
        <v>87</v>
      </c>
      <c r="M10" s="0" t="s">
        <v>115</v>
      </c>
      <c r="O10" s="0" t="s">
        <v>116</v>
      </c>
      <c r="Q10" s="64"/>
    </row>
    <row r="11" customFormat="false" ht="15" hidden="false" customHeight="false" outlineLevel="0" collapsed="false">
      <c r="F11" s="0" t="s">
        <v>88</v>
      </c>
      <c r="M11" s="0" t="s">
        <v>117</v>
      </c>
      <c r="O11" s="0" t="s">
        <v>118</v>
      </c>
      <c r="Q11" s="66"/>
    </row>
    <row r="12" customFormat="false" ht="15" hidden="false" customHeight="false" outlineLevel="0" collapsed="false">
      <c r="M12" s="0" t="s">
        <v>119</v>
      </c>
      <c r="V12" s="59"/>
    </row>
    <row r="21" customFormat="false" ht="15" hidden="false" customHeight="false" outlineLevel="0" collapsed="false">
      <c r="A21" s="0" t="s">
        <v>120</v>
      </c>
    </row>
    <row r="22" customFormat="false" ht="15" hidden="false" customHeight="false" outlineLevel="0" collapsed="false">
      <c r="A22" s="0" t="s">
        <v>121</v>
      </c>
    </row>
    <row r="23" customFormat="false" ht="15" hidden="false" customHeight="false" outlineLevel="0" collapsed="false">
      <c r="A23" s="0" t="s">
        <v>122</v>
      </c>
    </row>
  </sheetData>
  <dataValidations count="2">
    <dataValidation allowBlank="true" errorStyle="stop" operator="between" showDropDown="false" showErrorMessage="true" showInputMessage="true" sqref="G14 G23:G27" type="list">
      <formula1>pays</formula1>
      <formula2>0</formula2>
    </dataValidation>
    <dataValidation allowBlank="true" errorStyle="stop" operator="between" showDropDown="false" showErrorMessage="true" showInputMessage="true" sqref="T4:T7 W14:W17" type="list">
      <formula1>"Oui,Non"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 r:id="rId9"/>
    <tablePart r:id="rId10"/>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1" activeCellId="0" sqref="J11"/>
    </sheetView>
  </sheetViews>
  <sheetFormatPr defaultColWidth="10.59765625" defaultRowHeight="15"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3" min="3" style="0" width="23"/>
    <col collapsed="false" customWidth="true" hidden="false" outlineLevel="0" max="4" min="4" style="0" width="16"/>
    <col collapsed="false" customWidth="true" hidden="false" outlineLevel="0" max="5" min="5" style="0" width="25"/>
    <col collapsed="false" customWidth="true" hidden="false" outlineLevel="0" max="6" min="6" style="0" width="16"/>
    <col collapsed="false" customWidth="true" hidden="false" outlineLevel="0" max="7" min="7" style="0" width="21"/>
    <col collapsed="false" customWidth="true" hidden="false" outlineLevel="0" max="8" min="8" style="0" width="10"/>
    <col collapsed="false" customWidth="true" hidden="false" outlineLevel="0" max="9" min="9" style="0" width="13"/>
    <col collapsed="false" customWidth="true" hidden="false" outlineLevel="0" max="10" min="10" style="0" width="9"/>
    <col collapsed="false" customWidth="true" hidden="false" outlineLevel="0" max="11" min="11" style="0" width="11"/>
    <col collapsed="false" customWidth="true" hidden="false" outlineLevel="0" max="12" min="12" style="0" width="12"/>
    <col collapsed="false" customWidth="true" hidden="false" outlineLevel="0" max="13" min="13" style="0" width="18"/>
    <col collapsed="false" customWidth="true" hidden="false" outlineLevel="0" max="15" min="14" style="0" width="9"/>
  </cols>
  <sheetData>
    <row r="1" customFormat="false" ht="15" hidden="false" customHeight="false" outlineLevel="0" collapsed="false">
      <c r="A1" s="0" t="s">
        <v>123</v>
      </c>
      <c r="B1" s="0" t="s">
        <v>124</v>
      </c>
      <c r="C1" s="0" t="s">
        <v>125</v>
      </c>
      <c r="D1" s="0" t="s">
        <v>126</v>
      </c>
      <c r="E1" s="0" t="s">
        <v>127</v>
      </c>
      <c r="F1" s="0" t="s">
        <v>128</v>
      </c>
      <c r="G1" s="0" t="s">
        <v>129</v>
      </c>
      <c r="H1" s="0" t="s">
        <v>130</v>
      </c>
      <c r="I1" s="0" t="s">
        <v>131</v>
      </c>
      <c r="J1" s="0" t="s">
        <v>132</v>
      </c>
      <c r="K1" s="0" t="s">
        <v>133</v>
      </c>
      <c r="L1" s="0" t="s">
        <v>134</v>
      </c>
      <c r="M1" s="0" t="s">
        <v>135</v>
      </c>
      <c r="N1" s="0" t="s">
        <v>136</v>
      </c>
      <c r="O1" s="0" t="s">
        <v>137</v>
      </c>
    </row>
    <row r="2" customFormat="false" ht="15" hidden="false" customHeight="false" outlineLevel="0" collapsed="false">
      <c r="A2" s="0" t="s">
        <v>138</v>
      </c>
      <c r="B2" s="0" t="s">
        <v>139</v>
      </c>
      <c r="C2" s="0" t="s">
        <v>140</v>
      </c>
      <c r="D2" s="0" t="s">
        <v>141</v>
      </c>
      <c r="E2" s="0" t="s">
        <v>142</v>
      </c>
      <c r="F2" s="0" t="s">
        <v>64</v>
      </c>
      <c r="G2" s="0" t="s">
        <v>143</v>
      </c>
      <c r="H2" s="0" t="s">
        <v>111</v>
      </c>
      <c r="I2" s="0" t="s">
        <v>68</v>
      </c>
      <c r="J2" s="0" t="s">
        <v>144</v>
      </c>
      <c r="K2" s="0" t="s">
        <v>145</v>
      </c>
      <c r="L2" s="0" t="s">
        <v>146</v>
      </c>
      <c r="M2" s="0" t="s">
        <v>147</v>
      </c>
    </row>
    <row r="3" customFormat="false" ht="15" hidden="false" customHeight="false" outlineLevel="0" collapsed="false">
      <c r="A3" s="0" t="s">
        <v>148</v>
      </c>
      <c r="B3" s="0" t="s">
        <v>149</v>
      </c>
      <c r="C3" s="0" t="s">
        <v>150</v>
      </c>
      <c r="D3" s="0" t="s">
        <v>141</v>
      </c>
      <c r="E3" s="0" t="s">
        <v>151</v>
      </c>
      <c r="F3" s="0" t="s">
        <v>67</v>
      </c>
      <c r="G3" s="0" t="s">
        <v>152</v>
      </c>
      <c r="H3" s="0" t="s">
        <v>109</v>
      </c>
      <c r="I3" s="0" t="s">
        <v>153</v>
      </c>
      <c r="J3" s="0" t="s">
        <v>154</v>
      </c>
      <c r="L3" s="0" t="s">
        <v>155</v>
      </c>
      <c r="M3" s="0" t="s">
        <v>156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0.59765625" defaultRowHeight="15" zeroHeight="false" outlineLevelRow="0" outlineLevelCol="0"/>
  <cols>
    <col collapsed="false" customWidth="true" hidden="false" outlineLevel="0" max="1" min="1" style="0" width="19.28"/>
    <col collapsed="false" customWidth="true" hidden="false" outlineLevel="0" max="2" min="2" style="0" width="22.14"/>
  </cols>
  <sheetData>
    <row r="1" customFormat="false" ht="15" hidden="false" customHeight="false" outlineLevel="0" collapsed="false">
      <c r="A1" s="67" t="s">
        <v>157</v>
      </c>
      <c r="B1" s="67" t="s">
        <v>158</v>
      </c>
      <c r="C1" s="67" t="s">
        <v>159</v>
      </c>
      <c r="D1" s="68" t="s">
        <v>160</v>
      </c>
      <c r="E1" s="69" t="s">
        <v>161</v>
      </c>
      <c r="F1" s="69" t="s">
        <v>162</v>
      </c>
      <c r="G1" s="69" t="s">
        <v>163</v>
      </c>
      <c r="H1" s="69" t="s">
        <v>164</v>
      </c>
      <c r="I1" s="69" t="s">
        <v>165</v>
      </c>
      <c r="J1" s="67" t="s">
        <v>166</v>
      </c>
      <c r="K1" s="67" t="s">
        <v>167</v>
      </c>
      <c r="L1" s="67" t="s">
        <v>168</v>
      </c>
      <c r="M1" s="67" t="s">
        <v>169</v>
      </c>
    </row>
    <row r="2" customFormat="false" ht="15" hidden="false" customHeight="false" outlineLevel="0" collapsed="false">
      <c r="A2" s="70" t="s">
        <v>170</v>
      </c>
      <c r="B2" s="71" t="s">
        <v>171</v>
      </c>
      <c r="C2" s="70" t="s">
        <v>172</v>
      </c>
      <c r="D2" s="72" t="s">
        <v>173</v>
      </c>
      <c r="E2" s="73" t="n">
        <v>110</v>
      </c>
      <c r="F2" s="73" t="n">
        <v>140</v>
      </c>
      <c r="G2" s="73" t="n">
        <v>140</v>
      </c>
      <c r="H2" s="73" t="n">
        <v>250</v>
      </c>
      <c r="I2" s="73" t="n">
        <v>30</v>
      </c>
      <c r="J2" s="70"/>
      <c r="K2" s="73" t="s">
        <v>174</v>
      </c>
      <c r="L2" s="70"/>
      <c r="M2" s="70"/>
    </row>
    <row r="3" customFormat="false" ht="15" hidden="false" customHeight="false" outlineLevel="0" collapsed="false">
      <c r="A3" s="70" t="s">
        <v>170</v>
      </c>
      <c r="B3" s="71" t="s">
        <v>171</v>
      </c>
      <c r="C3" s="70" t="s">
        <v>175</v>
      </c>
      <c r="D3" s="72"/>
      <c r="E3" s="73"/>
      <c r="F3" s="73"/>
      <c r="G3" s="73"/>
      <c r="H3" s="73"/>
      <c r="I3" s="73"/>
      <c r="J3" s="70"/>
      <c r="K3" s="73"/>
      <c r="L3" s="70"/>
      <c r="M3" s="70"/>
    </row>
    <row r="4" customFormat="false" ht="15" hidden="false" customHeight="false" outlineLevel="0" collapsed="false">
      <c r="A4" s="70" t="s">
        <v>170</v>
      </c>
      <c r="B4" s="71" t="s">
        <v>176</v>
      </c>
      <c r="C4" s="70" t="s">
        <v>172</v>
      </c>
      <c r="D4" s="72" t="s">
        <v>173</v>
      </c>
      <c r="E4" s="73" t="n">
        <v>120</v>
      </c>
      <c r="F4" s="73" t="n">
        <v>160</v>
      </c>
      <c r="G4" s="73" t="n">
        <v>160</v>
      </c>
      <c r="H4" s="73" t="n">
        <v>220</v>
      </c>
      <c r="I4" s="73"/>
      <c r="J4" s="70"/>
      <c r="K4" s="73" t="s">
        <v>174</v>
      </c>
      <c r="L4" s="70"/>
      <c r="M4" s="70"/>
    </row>
    <row r="5" customFormat="false" ht="15" hidden="false" customHeight="false" outlineLevel="0" collapsed="false">
      <c r="A5" s="70" t="s">
        <v>170</v>
      </c>
      <c r="B5" s="71" t="s">
        <v>176</v>
      </c>
      <c r="C5" s="70" t="s">
        <v>175</v>
      </c>
      <c r="D5" s="72"/>
      <c r="E5" s="73"/>
      <c r="F5" s="73"/>
      <c r="G5" s="73"/>
      <c r="H5" s="73"/>
      <c r="I5" s="73"/>
      <c r="J5" s="70"/>
      <c r="K5" s="73"/>
      <c r="L5" s="70"/>
      <c r="M5" s="70"/>
    </row>
    <row r="6" customFormat="false" ht="15" hidden="false" customHeight="false" outlineLevel="0" collapsed="false">
      <c r="A6" s="70" t="s">
        <v>170</v>
      </c>
      <c r="B6" s="71" t="s">
        <v>177</v>
      </c>
      <c r="C6" s="70" t="s">
        <v>172</v>
      </c>
      <c r="D6" s="74" t="s">
        <v>178</v>
      </c>
      <c r="E6" s="73" t="n">
        <v>150</v>
      </c>
      <c r="F6" s="73" t="n">
        <v>195</v>
      </c>
      <c r="G6" s="73" t="n">
        <v>195</v>
      </c>
      <c r="H6" s="73" t="n">
        <v>250</v>
      </c>
      <c r="I6" s="73" t="n">
        <v>43</v>
      </c>
      <c r="J6" s="70"/>
      <c r="K6" s="73" t="s">
        <v>174</v>
      </c>
      <c r="L6" s="70"/>
      <c r="M6" s="70"/>
    </row>
    <row r="7" customFormat="false" ht="15" hidden="false" customHeight="false" outlineLevel="0" collapsed="false">
      <c r="A7" s="70" t="s">
        <v>170</v>
      </c>
      <c r="B7" s="71" t="s">
        <v>177</v>
      </c>
      <c r="C7" s="70" t="s">
        <v>175</v>
      </c>
      <c r="D7" s="72" t="s">
        <v>178</v>
      </c>
      <c r="E7" s="73" t="s">
        <v>179</v>
      </c>
      <c r="F7" s="73" t="n">
        <v>96</v>
      </c>
      <c r="G7" s="73" t="n">
        <v>96</v>
      </c>
      <c r="H7" s="73" t="n">
        <v>151</v>
      </c>
      <c r="I7" s="73"/>
      <c r="J7" s="70"/>
      <c r="K7" s="73" t="s">
        <v>174</v>
      </c>
      <c r="L7" s="70"/>
      <c r="M7" s="70"/>
    </row>
    <row r="8" customFormat="false" ht="15" hidden="false" customHeight="false" outlineLevel="0" collapsed="false">
      <c r="A8" s="70" t="s">
        <v>170</v>
      </c>
      <c r="B8" s="71" t="s">
        <v>180</v>
      </c>
      <c r="C8" s="70" t="s">
        <v>172</v>
      </c>
      <c r="D8" s="72" t="s">
        <v>173</v>
      </c>
      <c r="E8" s="73" t="s">
        <v>181</v>
      </c>
      <c r="F8" s="73" t="s">
        <v>182</v>
      </c>
      <c r="G8" s="73" t="s">
        <v>182</v>
      </c>
      <c r="H8" s="73" t="s">
        <v>183</v>
      </c>
      <c r="I8" s="73" t="s">
        <v>184</v>
      </c>
      <c r="J8" s="70"/>
      <c r="K8" s="73" t="s">
        <v>174</v>
      </c>
      <c r="L8" s="70"/>
      <c r="M8" s="70"/>
    </row>
    <row r="9" customFormat="false" ht="15" hidden="false" customHeight="false" outlineLevel="0" collapsed="false">
      <c r="A9" s="70" t="s">
        <v>170</v>
      </c>
      <c r="B9" s="71" t="s">
        <v>180</v>
      </c>
      <c r="C9" s="70" t="s">
        <v>175</v>
      </c>
      <c r="D9" s="72"/>
      <c r="E9" s="73"/>
      <c r="F9" s="73"/>
      <c r="G9" s="73"/>
      <c r="H9" s="73"/>
      <c r="I9" s="73"/>
      <c r="J9" s="70"/>
      <c r="K9" s="73"/>
      <c r="L9" s="70"/>
      <c r="M9" s="70"/>
    </row>
    <row r="10" customFormat="false" ht="15" hidden="false" customHeight="false" outlineLevel="0" collapsed="false">
      <c r="A10" s="70" t="s">
        <v>170</v>
      </c>
      <c r="B10" s="71" t="s">
        <v>185</v>
      </c>
      <c r="C10" s="70" t="s">
        <v>172</v>
      </c>
      <c r="D10" s="72" t="s">
        <v>173</v>
      </c>
      <c r="E10" s="73" t="s">
        <v>186</v>
      </c>
      <c r="F10" s="73" t="s">
        <v>187</v>
      </c>
      <c r="G10" s="73" t="s">
        <v>187</v>
      </c>
      <c r="H10" s="73" t="s">
        <v>187</v>
      </c>
      <c r="I10" s="73" t="s">
        <v>188</v>
      </c>
      <c r="J10" s="70"/>
      <c r="K10" s="73" t="s">
        <v>174</v>
      </c>
      <c r="L10" s="70"/>
      <c r="M10" s="70"/>
    </row>
    <row r="11" customFormat="false" ht="15" hidden="false" customHeight="false" outlineLevel="0" collapsed="false">
      <c r="A11" s="70" t="s">
        <v>170</v>
      </c>
      <c r="B11" s="71" t="s">
        <v>185</v>
      </c>
      <c r="C11" s="70" t="s">
        <v>189</v>
      </c>
      <c r="D11" s="72"/>
      <c r="E11" s="73"/>
      <c r="F11" s="73"/>
      <c r="G11" s="73"/>
      <c r="H11" s="73"/>
      <c r="I11" s="73"/>
      <c r="J11" s="70"/>
      <c r="K11" s="73"/>
      <c r="L11" s="70"/>
      <c r="M11" s="70"/>
    </row>
    <row r="12" customFormat="false" ht="15" hidden="false" customHeight="false" outlineLevel="0" collapsed="false">
      <c r="A12" s="70" t="s">
        <v>170</v>
      </c>
      <c r="B12" s="71" t="s">
        <v>190</v>
      </c>
      <c r="C12" s="70" t="s">
        <v>172</v>
      </c>
      <c r="D12" s="72" t="s">
        <v>173</v>
      </c>
      <c r="E12" s="73" t="s">
        <v>191</v>
      </c>
      <c r="F12" s="73" t="s">
        <v>192</v>
      </c>
      <c r="G12" s="73" t="s">
        <v>192</v>
      </c>
      <c r="H12" s="73" t="s">
        <v>193</v>
      </c>
      <c r="I12" s="73" t="s">
        <v>194</v>
      </c>
      <c r="J12" s="70"/>
      <c r="K12" s="73" t="s">
        <v>174</v>
      </c>
      <c r="L12" s="70"/>
      <c r="M12" s="70"/>
    </row>
    <row r="13" customFormat="false" ht="15" hidden="false" customHeight="false" outlineLevel="0" collapsed="false">
      <c r="A13" s="70" t="s">
        <v>170</v>
      </c>
      <c r="B13" s="71" t="s">
        <v>190</v>
      </c>
      <c r="C13" s="70" t="s">
        <v>175</v>
      </c>
      <c r="D13" s="72"/>
      <c r="E13" s="73"/>
      <c r="F13" s="73"/>
      <c r="G13" s="73"/>
      <c r="H13" s="73"/>
      <c r="I13" s="73"/>
      <c r="J13" s="70"/>
      <c r="K13" s="73"/>
      <c r="L13" s="70"/>
      <c r="M13" s="70"/>
    </row>
    <row r="14" customFormat="false" ht="15" hidden="false" customHeight="false" outlineLevel="0" collapsed="false">
      <c r="A14" s="70" t="s">
        <v>170</v>
      </c>
      <c r="B14" s="71" t="s">
        <v>195</v>
      </c>
      <c r="C14" s="70" t="s">
        <v>172</v>
      </c>
      <c r="D14" s="72" t="s">
        <v>196</v>
      </c>
      <c r="E14" s="73" t="n">
        <v>312126</v>
      </c>
      <c r="F14" s="73" t="n">
        <v>312126</v>
      </c>
      <c r="G14" s="73"/>
      <c r="H14" s="73" t="n">
        <v>504604</v>
      </c>
      <c r="I14" s="73"/>
      <c r="J14" s="70"/>
      <c r="K14" s="73" t="s">
        <v>174</v>
      </c>
      <c r="L14" s="70"/>
      <c r="M14" s="70"/>
    </row>
    <row r="15" customFormat="false" ht="15" hidden="false" customHeight="false" outlineLevel="0" collapsed="false">
      <c r="A15" s="70" t="s">
        <v>170</v>
      </c>
      <c r="B15" s="71" t="s">
        <v>195</v>
      </c>
      <c r="C15" s="70" t="s">
        <v>175</v>
      </c>
      <c r="D15" s="72"/>
      <c r="E15" s="73"/>
      <c r="F15" s="73"/>
      <c r="G15" s="73"/>
      <c r="H15" s="73"/>
      <c r="I15" s="73"/>
      <c r="J15" s="70"/>
      <c r="K15" s="73"/>
      <c r="L15" s="70"/>
      <c r="M15" s="70"/>
    </row>
    <row r="16" customFormat="false" ht="15" hidden="false" customHeight="false" outlineLevel="0" collapsed="false">
      <c r="A16" s="70" t="s">
        <v>170</v>
      </c>
      <c r="B16" s="71" t="s">
        <v>197</v>
      </c>
      <c r="C16" s="70" t="s">
        <v>172</v>
      </c>
      <c r="D16" s="72" t="s">
        <v>196</v>
      </c>
      <c r="E16" s="73" t="n">
        <v>384956</v>
      </c>
      <c r="F16" s="73" t="n">
        <v>384956</v>
      </c>
      <c r="G16" s="73" t="n">
        <v>384954</v>
      </c>
      <c r="H16" s="73" t="n">
        <v>494200</v>
      </c>
      <c r="I16" s="73"/>
      <c r="J16" s="70"/>
      <c r="K16" s="73" t="s">
        <v>174</v>
      </c>
      <c r="L16" s="70"/>
      <c r="M16" s="70"/>
    </row>
    <row r="17" customFormat="false" ht="15" hidden="false" customHeight="false" outlineLevel="0" collapsed="false">
      <c r="A17" s="70" t="s">
        <v>170</v>
      </c>
      <c r="B17" s="71" t="s">
        <v>197</v>
      </c>
      <c r="C17" s="70" t="s">
        <v>175</v>
      </c>
      <c r="D17" s="72"/>
      <c r="E17" s="73" t="n">
        <f aca="false">E16-(E16*20%)</f>
        <v>307964.8</v>
      </c>
      <c r="F17" s="73" t="n">
        <f aca="false">F16-(F16*20%)</f>
        <v>307964.8</v>
      </c>
      <c r="G17" s="73" t="n">
        <f aca="false">G16-(G16*20%)</f>
        <v>307963.2</v>
      </c>
      <c r="H17" s="73" t="n">
        <f aca="false">H16-(H16*20%)</f>
        <v>395360</v>
      </c>
      <c r="I17" s="73"/>
      <c r="J17" s="70"/>
      <c r="K17" s="73" t="s">
        <v>174</v>
      </c>
      <c r="L17" s="70"/>
      <c r="M17" s="70"/>
    </row>
    <row r="18" customFormat="false" ht="15" hidden="false" customHeight="false" outlineLevel="0" collapsed="false">
      <c r="A18" s="70" t="s">
        <v>170</v>
      </c>
      <c r="B18" s="71" t="s">
        <v>198</v>
      </c>
      <c r="C18" s="70" t="s">
        <v>172</v>
      </c>
      <c r="D18" s="72" t="s">
        <v>196</v>
      </c>
      <c r="E18" s="73"/>
      <c r="F18" s="73" t="n">
        <v>269209</v>
      </c>
      <c r="G18" s="73"/>
      <c r="H18" s="73"/>
      <c r="I18" s="73"/>
      <c r="J18" s="70"/>
      <c r="K18" s="73" t="s">
        <v>174</v>
      </c>
      <c r="L18" s="70"/>
      <c r="M18" s="70"/>
    </row>
    <row r="19" customFormat="false" ht="15" hidden="false" customHeight="false" outlineLevel="0" collapsed="false">
      <c r="A19" s="70" t="s">
        <v>170</v>
      </c>
      <c r="B19" s="71" t="s">
        <v>198</v>
      </c>
      <c r="C19" s="70" t="s">
        <v>175</v>
      </c>
      <c r="D19" s="72"/>
      <c r="E19" s="73"/>
      <c r="F19" s="73"/>
      <c r="G19" s="73"/>
      <c r="H19" s="73"/>
      <c r="I19" s="73"/>
      <c r="J19" s="70"/>
      <c r="K19" s="73"/>
      <c r="L19" s="70"/>
      <c r="M19" s="70"/>
    </row>
    <row r="20" customFormat="false" ht="15" hidden="false" customHeight="false" outlineLevel="0" collapsed="false">
      <c r="A20" s="70" t="s">
        <v>170</v>
      </c>
      <c r="B20" s="71" t="s">
        <v>199</v>
      </c>
      <c r="C20" s="70" t="s">
        <v>172</v>
      </c>
      <c r="D20" s="72" t="s">
        <v>196</v>
      </c>
      <c r="E20" s="73"/>
      <c r="F20" s="73" t="n">
        <v>291838</v>
      </c>
      <c r="G20" s="73"/>
      <c r="H20" s="73" t="n">
        <v>397961</v>
      </c>
      <c r="I20" s="73"/>
      <c r="J20" s="70"/>
      <c r="K20" s="73" t="s">
        <v>174</v>
      </c>
      <c r="L20" s="70"/>
      <c r="M20" s="70"/>
    </row>
    <row r="21" customFormat="false" ht="15" hidden="false" customHeight="false" outlineLevel="0" collapsed="false">
      <c r="A21" s="70" t="s">
        <v>170</v>
      </c>
      <c r="B21" s="71" t="s">
        <v>199</v>
      </c>
      <c r="C21" s="70" t="s">
        <v>175</v>
      </c>
      <c r="D21" s="72"/>
      <c r="E21" s="73"/>
      <c r="F21" s="73"/>
      <c r="G21" s="73"/>
      <c r="H21" s="73"/>
      <c r="I21" s="73"/>
      <c r="J21" s="70"/>
      <c r="K21" s="73"/>
      <c r="L21" s="70"/>
      <c r="M21" s="70"/>
    </row>
    <row r="22" customFormat="false" ht="15" hidden="false" customHeight="false" outlineLevel="0" collapsed="false">
      <c r="A22" s="70" t="s">
        <v>200</v>
      </c>
      <c r="B22" s="71" t="s">
        <v>201</v>
      </c>
      <c r="C22" s="70" t="s">
        <v>172</v>
      </c>
      <c r="D22" s="72" t="s">
        <v>196</v>
      </c>
      <c r="E22" s="73"/>
      <c r="F22" s="73" t="n">
        <v>416168</v>
      </c>
      <c r="G22" s="73"/>
      <c r="H22" s="73"/>
      <c r="I22" s="73"/>
      <c r="J22" s="70"/>
      <c r="K22" s="70"/>
      <c r="L22" s="70"/>
      <c r="M22" s="70"/>
    </row>
    <row r="23" customFormat="false" ht="15" hidden="false" customHeight="false" outlineLevel="0" collapsed="false">
      <c r="A23" s="70" t="s">
        <v>200</v>
      </c>
      <c r="B23" s="71" t="s">
        <v>201</v>
      </c>
      <c r="C23" s="70" t="s">
        <v>175</v>
      </c>
      <c r="D23" s="72"/>
      <c r="E23" s="73"/>
      <c r="F23" s="73"/>
      <c r="G23" s="73"/>
      <c r="H23" s="73"/>
      <c r="I23" s="73"/>
      <c r="J23" s="70"/>
      <c r="K23" s="70"/>
      <c r="L23" s="70"/>
      <c r="M23" s="70"/>
    </row>
    <row r="24" customFormat="false" ht="15" hidden="false" customHeight="false" outlineLevel="0" collapsed="false">
      <c r="A24" s="70" t="s">
        <v>200</v>
      </c>
      <c r="B24" s="71" t="s">
        <v>202</v>
      </c>
      <c r="C24" s="70" t="s">
        <v>172</v>
      </c>
      <c r="D24" s="72" t="s">
        <v>196</v>
      </c>
      <c r="E24" s="73"/>
      <c r="F24" s="73" t="s">
        <v>203</v>
      </c>
      <c r="G24" s="73"/>
      <c r="H24" s="73"/>
      <c r="I24" s="73"/>
      <c r="J24" s="70"/>
      <c r="K24" s="70"/>
      <c r="L24" s="70"/>
      <c r="M24" s="70"/>
    </row>
    <row r="25" customFormat="false" ht="15" hidden="false" customHeight="false" outlineLevel="0" collapsed="false">
      <c r="A25" s="70" t="s">
        <v>200</v>
      </c>
      <c r="B25" s="71" t="s">
        <v>202</v>
      </c>
      <c r="C25" s="70" t="s">
        <v>175</v>
      </c>
      <c r="D25" s="72"/>
      <c r="E25" s="73"/>
      <c r="F25" s="73"/>
      <c r="G25" s="73"/>
      <c r="H25" s="73"/>
      <c r="I25" s="73"/>
      <c r="J25" s="70"/>
      <c r="K25" s="70"/>
      <c r="L25" s="70"/>
      <c r="M25" s="70"/>
    </row>
    <row r="26" customFormat="false" ht="15" hidden="false" customHeight="false" outlineLevel="0" collapsed="false">
      <c r="A26" s="70" t="s">
        <v>200</v>
      </c>
      <c r="B26" s="71" t="s">
        <v>204</v>
      </c>
      <c r="C26" s="70" t="s">
        <v>172</v>
      </c>
      <c r="D26" s="72" t="s">
        <v>196</v>
      </c>
      <c r="E26" s="73" t="n">
        <v>260937</v>
      </c>
      <c r="F26" s="73" t="n">
        <v>216737</v>
      </c>
      <c r="G26" s="73"/>
      <c r="H26" s="73" t="n">
        <v>292982</v>
      </c>
      <c r="I26" s="73"/>
      <c r="J26" s="70"/>
      <c r="K26" s="70"/>
      <c r="L26" s="70"/>
      <c r="M26" s="70"/>
    </row>
    <row r="27" customFormat="false" ht="15" hidden="false" customHeight="false" outlineLevel="0" collapsed="false">
      <c r="A27" s="70" t="s">
        <v>200</v>
      </c>
      <c r="B27" s="71" t="s">
        <v>204</v>
      </c>
      <c r="C27" s="70" t="s">
        <v>175</v>
      </c>
      <c r="D27" s="72"/>
      <c r="E27" s="73"/>
      <c r="F27" s="73"/>
      <c r="G27" s="73"/>
      <c r="H27" s="73"/>
      <c r="I27" s="73"/>
      <c r="J27" s="70"/>
      <c r="K27" s="70"/>
      <c r="L27" s="70"/>
      <c r="M27" s="70"/>
    </row>
    <row r="28" customFormat="false" ht="15" hidden="false" customHeight="false" outlineLevel="0" collapsed="false">
      <c r="A28" s="70" t="s">
        <v>200</v>
      </c>
      <c r="B28" s="71" t="s">
        <v>205</v>
      </c>
      <c r="C28" s="70" t="s">
        <v>172</v>
      </c>
      <c r="D28" s="72" t="s">
        <v>196</v>
      </c>
      <c r="E28" s="73"/>
      <c r="F28" s="73" t="n">
        <v>202882</v>
      </c>
      <c r="G28" s="73"/>
      <c r="H28" s="73"/>
      <c r="I28" s="73"/>
      <c r="J28" s="70"/>
      <c r="K28" s="70"/>
      <c r="L28" s="70"/>
      <c r="M28" s="70"/>
    </row>
    <row r="29" customFormat="false" ht="15" hidden="false" customHeight="false" outlineLevel="0" collapsed="false">
      <c r="A29" s="70" t="s">
        <v>200</v>
      </c>
      <c r="B29" s="71" t="s">
        <v>205</v>
      </c>
      <c r="C29" s="70" t="s">
        <v>175</v>
      </c>
      <c r="D29" s="72"/>
      <c r="E29" s="73"/>
      <c r="F29" s="73"/>
      <c r="G29" s="73"/>
      <c r="H29" s="73"/>
      <c r="I29" s="73"/>
      <c r="J29" s="70"/>
      <c r="K29" s="70"/>
      <c r="L29" s="70"/>
      <c r="M29" s="70"/>
    </row>
    <row r="30" customFormat="false" ht="15" hidden="false" customHeight="false" outlineLevel="0" collapsed="false">
      <c r="A30" s="70" t="s">
        <v>200</v>
      </c>
      <c r="B30" s="71" t="s">
        <v>206</v>
      </c>
      <c r="C30" s="70" t="s">
        <v>172</v>
      </c>
      <c r="D30" s="72" t="s">
        <v>196</v>
      </c>
      <c r="E30" s="73" t="n">
        <v>78760</v>
      </c>
      <c r="F30" s="73" t="n">
        <v>88551</v>
      </c>
      <c r="G30" s="73" t="n">
        <v>103002</v>
      </c>
      <c r="H30" s="73" t="n">
        <v>144202</v>
      </c>
      <c r="I30" s="73"/>
      <c r="J30" s="70"/>
      <c r="K30" s="70"/>
      <c r="L30" s="70"/>
      <c r="M30" s="70"/>
    </row>
    <row r="31" customFormat="false" ht="15" hidden="false" customHeight="false" outlineLevel="0" collapsed="false">
      <c r="A31" s="70" t="s">
        <v>200</v>
      </c>
      <c r="B31" s="71" t="s">
        <v>206</v>
      </c>
      <c r="C31" s="70" t="s">
        <v>175</v>
      </c>
      <c r="D31" s="72"/>
      <c r="E31" s="73"/>
      <c r="F31" s="73"/>
      <c r="G31" s="73"/>
      <c r="H31" s="73"/>
      <c r="I31" s="73"/>
      <c r="J31" s="70"/>
      <c r="K31" s="70"/>
      <c r="L31" s="70"/>
      <c r="M31" s="70"/>
    </row>
    <row r="32" customFormat="false" ht="15" hidden="false" customHeight="false" outlineLevel="0" collapsed="false">
      <c r="A32" s="70" t="s">
        <v>200</v>
      </c>
      <c r="B32" s="71" t="s">
        <v>207</v>
      </c>
      <c r="C32" s="70" t="s">
        <v>172</v>
      </c>
      <c r="D32" s="72" t="s">
        <v>196</v>
      </c>
      <c r="E32" s="73" t="n">
        <v>93638</v>
      </c>
      <c r="F32" s="73" t="n">
        <v>140156</v>
      </c>
      <c r="G32" s="73" t="n">
        <v>156063</v>
      </c>
      <c r="H32" s="73" t="n">
        <v>182074</v>
      </c>
      <c r="I32" s="73"/>
      <c r="J32" s="70"/>
      <c r="K32" s="70"/>
      <c r="L32" s="70"/>
      <c r="M32" s="70"/>
    </row>
    <row r="33" customFormat="false" ht="15" hidden="false" customHeight="false" outlineLevel="0" collapsed="false">
      <c r="A33" s="70" t="s">
        <v>200</v>
      </c>
      <c r="B33" s="71" t="s">
        <v>207</v>
      </c>
      <c r="C33" s="70" t="s">
        <v>175</v>
      </c>
      <c r="D33" s="72"/>
      <c r="E33" s="73"/>
      <c r="F33" s="73"/>
      <c r="G33" s="73"/>
      <c r="H33" s="73"/>
      <c r="I33" s="73"/>
      <c r="J33" s="70"/>
      <c r="K33" s="70"/>
      <c r="L33" s="70"/>
      <c r="M33" s="70"/>
    </row>
    <row r="34" customFormat="false" ht="15" hidden="false" customHeight="false" outlineLevel="0" collapsed="false">
      <c r="A34" s="70" t="s">
        <v>200</v>
      </c>
      <c r="B34" s="71" t="s">
        <v>208</v>
      </c>
      <c r="C34" s="70" t="s">
        <v>172</v>
      </c>
      <c r="D34" s="72" t="s">
        <v>196</v>
      </c>
      <c r="E34" s="73" t="n">
        <v>109556</v>
      </c>
      <c r="F34" s="73" t="n">
        <v>117984</v>
      </c>
      <c r="G34" s="73"/>
      <c r="H34" s="73" t="n">
        <v>163866</v>
      </c>
      <c r="I34" s="73"/>
      <c r="J34" s="70"/>
      <c r="K34" s="70"/>
      <c r="L34" s="70"/>
      <c r="M34" s="70"/>
    </row>
    <row r="35" customFormat="false" ht="15" hidden="false" customHeight="false" outlineLevel="0" collapsed="false">
      <c r="A35" s="70" t="s">
        <v>200</v>
      </c>
      <c r="B35" s="71" t="s">
        <v>208</v>
      </c>
      <c r="C35" s="70" t="s">
        <v>175</v>
      </c>
      <c r="D35" s="72"/>
      <c r="E35" s="73"/>
      <c r="F35" s="73"/>
      <c r="G35" s="73"/>
      <c r="H35" s="73"/>
      <c r="I35" s="73"/>
      <c r="J35" s="70"/>
      <c r="K35" s="70"/>
      <c r="L35" s="70"/>
      <c r="M35" s="70"/>
    </row>
    <row r="36" customFormat="false" ht="15" hidden="false" customHeight="false" outlineLevel="0" collapsed="false">
      <c r="A36" s="70" t="s">
        <v>200</v>
      </c>
      <c r="B36" s="71" t="s">
        <v>209</v>
      </c>
      <c r="C36" s="70" t="s">
        <v>172</v>
      </c>
      <c r="D36" s="72" t="s">
        <v>196</v>
      </c>
      <c r="E36" s="73"/>
      <c r="F36" s="73"/>
      <c r="G36" s="73"/>
      <c r="H36" s="73" t="n">
        <v>184074</v>
      </c>
      <c r="I36" s="73"/>
      <c r="J36" s="70"/>
      <c r="K36" s="70"/>
      <c r="L36" s="70"/>
      <c r="M36" s="70"/>
    </row>
    <row r="37" customFormat="false" ht="15" hidden="false" customHeight="false" outlineLevel="0" collapsed="false">
      <c r="A37" s="70" t="s">
        <v>200</v>
      </c>
      <c r="B37" s="71" t="s">
        <v>209</v>
      </c>
      <c r="C37" s="70" t="s">
        <v>175</v>
      </c>
      <c r="D37" s="72"/>
      <c r="E37" s="73"/>
      <c r="F37" s="73"/>
      <c r="G37" s="73"/>
      <c r="H37" s="73"/>
      <c r="I37" s="73"/>
      <c r="J37" s="70"/>
      <c r="K37" s="70"/>
      <c r="L37" s="70"/>
      <c r="M37" s="70"/>
    </row>
    <row r="38" customFormat="false" ht="15" hidden="false" customHeight="false" outlineLevel="0" collapsed="false">
      <c r="A38" s="70" t="s">
        <v>200</v>
      </c>
      <c r="B38" s="71" t="s">
        <v>210</v>
      </c>
      <c r="C38" s="70" t="s">
        <v>172</v>
      </c>
      <c r="D38" s="72" t="s">
        <v>196</v>
      </c>
      <c r="E38" s="73" t="n">
        <v>275711</v>
      </c>
      <c r="F38" s="73" t="n">
        <v>306924</v>
      </c>
      <c r="G38" s="73" t="n">
        <v>410966</v>
      </c>
      <c r="H38" s="73"/>
      <c r="I38" s="73"/>
      <c r="J38" s="70"/>
      <c r="K38" s="70"/>
      <c r="L38" s="70"/>
      <c r="M38" s="70"/>
    </row>
    <row r="39" customFormat="false" ht="15" hidden="false" customHeight="false" outlineLevel="0" collapsed="false">
      <c r="A39" s="70" t="s">
        <v>200</v>
      </c>
      <c r="B39" s="71" t="s">
        <v>210</v>
      </c>
      <c r="C39" s="70" t="s">
        <v>175</v>
      </c>
      <c r="D39" s="72"/>
      <c r="E39" s="73"/>
      <c r="F39" s="73"/>
      <c r="G39" s="73"/>
      <c r="H39" s="73"/>
      <c r="I39" s="73"/>
      <c r="J39" s="70"/>
      <c r="K39" s="70"/>
      <c r="L39" s="70"/>
      <c r="M39" s="70"/>
    </row>
    <row r="40" customFormat="false" ht="15" hidden="false" customHeight="false" outlineLevel="0" collapsed="false">
      <c r="A40" s="70" t="s">
        <v>200</v>
      </c>
      <c r="B40" s="71" t="s">
        <v>211</v>
      </c>
      <c r="C40" s="70" t="s">
        <v>172</v>
      </c>
      <c r="D40" s="72" t="s">
        <v>196</v>
      </c>
      <c r="E40" s="73"/>
      <c r="F40" s="73"/>
      <c r="G40" s="73"/>
      <c r="H40" s="73" t="n">
        <v>486917</v>
      </c>
      <c r="I40" s="73"/>
      <c r="J40" s="70"/>
      <c r="K40" s="70"/>
      <c r="L40" s="70"/>
      <c r="M40" s="70"/>
    </row>
    <row r="41" customFormat="false" ht="15" hidden="false" customHeight="false" outlineLevel="0" collapsed="false">
      <c r="A41" s="70" t="s">
        <v>200</v>
      </c>
      <c r="B41" s="71" t="s">
        <v>211</v>
      </c>
      <c r="C41" s="70" t="s">
        <v>175</v>
      </c>
      <c r="D41" s="72"/>
      <c r="E41" s="73"/>
      <c r="F41" s="73"/>
      <c r="G41" s="73"/>
      <c r="H41" s="73"/>
      <c r="I41" s="73"/>
      <c r="J41" s="70"/>
      <c r="K41" s="70"/>
      <c r="L41" s="70"/>
      <c r="M41" s="70"/>
    </row>
    <row r="42" customFormat="false" ht="15" hidden="false" customHeight="false" outlineLevel="0" collapsed="false">
      <c r="A42" s="70" t="s">
        <v>212</v>
      </c>
      <c r="B42" s="71" t="s">
        <v>213</v>
      </c>
      <c r="C42" s="70" t="s">
        <v>172</v>
      </c>
      <c r="D42" s="72" t="s">
        <v>196</v>
      </c>
      <c r="E42" s="73"/>
      <c r="F42" s="73" t="n">
        <v>150861</v>
      </c>
      <c r="G42" s="73"/>
      <c r="H42" s="73" t="n">
        <v>249701</v>
      </c>
      <c r="I42" s="73"/>
      <c r="J42" s="70"/>
      <c r="K42" s="70"/>
      <c r="L42" s="70"/>
      <c r="M42" s="70"/>
    </row>
    <row r="43" customFormat="false" ht="15" hidden="false" customHeight="false" outlineLevel="0" collapsed="false">
      <c r="A43" s="70" t="s">
        <v>212</v>
      </c>
      <c r="B43" s="71" t="s">
        <v>213</v>
      </c>
      <c r="C43" s="70" t="s">
        <v>175</v>
      </c>
      <c r="D43" s="72"/>
      <c r="E43" s="73"/>
      <c r="F43" s="73"/>
      <c r="G43" s="73"/>
      <c r="H43" s="73"/>
      <c r="I43" s="73"/>
      <c r="J43" s="70"/>
      <c r="K43" s="70"/>
      <c r="L43" s="70"/>
      <c r="M43" s="70"/>
    </row>
    <row r="44" customFormat="false" ht="15" hidden="false" customHeight="false" outlineLevel="0" collapsed="false">
      <c r="A44" s="70" t="s">
        <v>212</v>
      </c>
      <c r="B44" s="71" t="s">
        <v>214</v>
      </c>
      <c r="C44" s="70" t="s">
        <v>172</v>
      </c>
      <c r="D44" s="72" t="s">
        <v>196</v>
      </c>
      <c r="E44" s="73"/>
      <c r="F44" s="73"/>
      <c r="G44" s="73"/>
      <c r="H44" s="73" t="n">
        <v>914269</v>
      </c>
      <c r="I44" s="73"/>
      <c r="J44" s="70"/>
      <c r="K44" s="70"/>
      <c r="L44" s="70"/>
      <c r="M44" s="70"/>
    </row>
    <row r="45" customFormat="false" ht="15" hidden="false" customHeight="false" outlineLevel="0" collapsed="false">
      <c r="A45" s="70" t="s">
        <v>212</v>
      </c>
      <c r="B45" s="71" t="s">
        <v>214</v>
      </c>
      <c r="C45" s="70" t="s">
        <v>175</v>
      </c>
      <c r="D45" s="72"/>
      <c r="E45" s="73"/>
      <c r="F45" s="73"/>
      <c r="G45" s="73"/>
      <c r="H45" s="73"/>
      <c r="I45" s="73"/>
      <c r="J45" s="70"/>
      <c r="K45" s="70"/>
      <c r="L45" s="70"/>
      <c r="M45" s="70"/>
    </row>
    <row r="46" customFormat="false" ht="15" hidden="false" customHeight="false" outlineLevel="0" collapsed="false">
      <c r="A46" s="70" t="s">
        <v>212</v>
      </c>
      <c r="B46" s="71" t="s">
        <v>215</v>
      </c>
      <c r="C46" s="70" t="s">
        <v>172</v>
      </c>
      <c r="D46" s="72" t="s">
        <v>196</v>
      </c>
      <c r="E46" s="73"/>
      <c r="F46" s="73"/>
      <c r="G46" s="73"/>
      <c r="H46" s="73"/>
      <c r="I46" s="73"/>
      <c r="J46" s="70"/>
      <c r="K46" s="70"/>
      <c r="L46" s="70"/>
      <c r="M46" s="70"/>
    </row>
    <row r="47" customFormat="false" ht="15" hidden="false" customHeight="false" outlineLevel="0" collapsed="false">
      <c r="A47" s="70" t="s">
        <v>212</v>
      </c>
      <c r="B47" s="71" t="s">
        <v>215</v>
      </c>
      <c r="C47" s="70" t="s">
        <v>175</v>
      </c>
      <c r="D47" s="72"/>
      <c r="E47" s="73"/>
      <c r="F47" s="73"/>
      <c r="G47" s="73"/>
      <c r="H47" s="73"/>
      <c r="I47" s="73"/>
      <c r="J47" s="70"/>
      <c r="K47" s="70"/>
      <c r="L47" s="70"/>
      <c r="M47" s="70"/>
    </row>
    <row r="48" customFormat="false" ht="15" hidden="false" customHeight="false" outlineLevel="0" collapsed="false">
      <c r="A48" s="70" t="s">
        <v>216</v>
      </c>
      <c r="B48" s="71" t="s">
        <v>217</v>
      </c>
      <c r="C48" s="70" t="s">
        <v>172</v>
      </c>
      <c r="D48" s="72" t="s">
        <v>196</v>
      </c>
      <c r="E48" s="73"/>
      <c r="F48" s="73" t="n">
        <v>350000</v>
      </c>
      <c r="G48" s="73" t="n">
        <v>350000</v>
      </c>
      <c r="H48" s="73" t="n">
        <v>350000</v>
      </c>
      <c r="I48" s="73"/>
      <c r="J48" s="73" t="n">
        <v>720000</v>
      </c>
      <c r="K48" s="70"/>
      <c r="L48" s="70"/>
      <c r="M48" s="70"/>
    </row>
    <row r="49" customFormat="false" ht="15" hidden="false" customHeight="false" outlineLevel="0" collapsed="false">
      <c r="A49" s="70" t="s">
        <v>216</v>
      </c>
      <c r="B49" s="71" t="s">
        <v>217</v>
      </c>
      <c r="C49" s="70" t="s">
        <v>175</v>
      </c>
      <c r="D49" s="72" t="s">
        <v>178</v>
      </c>
      <c r="E49" s="73"/>
      <c r="F49" s="73" t="n">
        <v>31</v>
      </c>
      <c r="G49" s="73" t="n">
        <v>31</v>
      </c>
      <c r="H49" s="73" t="n">
        <v>57</v>
      </c>
      <c r="I49" s="73"/>
      <c r="J49" s="70" t="n">
        <v>110</v>
      </c>
      <c r="K49" s="70"/>
      <c r="L49" s="70"/>
      <c r="M49" s="70"/>
    </row>
    <row r="50" customFormat="false" ht="15" hidden="false" customHeight="false" outlineLevel="0" collapsed="false">
      <c r="A50" s="70" t="s">
        <v>216</v>
      </c>
      <c r="B50" s="71" t="s">
        <v>218</v>
      </c>
      <c r="C50" s="70" t="s">
        <v>172</v>
      </c>
      <c r="D50" s="72" t="s">
        <v>178</v>
      </c>
      <c r="E50" s="73"/>
      <c r="F50" s="73" t="n">
        <v>25</v>
      </c>
      <c r="G50" s="73" t="n">
        <v>35</v>
      </c>
      <c r="H50" s="73" t="n">
        <v>35</v>
      </c>
      <c r="I50" s="73" t="s">
        <v>219</v>
      </c>
      <c r="J50" s="70"/>
      <c r="K50" s="70"/>
      <c r="L50" s="70"/>
      <c r="M50" s="70"/>
    </row>
    <row r="51" customFormat="false" ht="15" hidden="false" customHeight="false" outlineLevel="0" collapsed="false">
      <c r="A51" s="70" t="s">
        <v>216</v>
      </c>
      <c r="B51" s="71" t="s">
        <v>218</v>
      </c>
      <c r="C51" s="70" t="s">
        <v>175</v>
      </c>
      <c r="D51" s="72" t="s">
        <v>178</v>
      </c>
      <c r="E51" s="73"/>
      <c r="F51" s="73" t="n">
        <v>21</v>
      </c>
      <c r="G51" s="73" t="n">
        <v>21</v>
      </c>
      <c r="H51" s="73" t="s">
        <v>220</v>
      </c>
      <c r="I51" s="73"/>
      <c r="J51" s="70"/>
      <c r="K51" s="70"/>
      <c r="L51" s="70"/>
      <c r="M51" s="70"/>
    </row>
    <row r="52" customFormat="false" ht="15" hidden="false" customHeight="false" outlineLevel="0" collapsed="false">
      <c r="A52" s="70" t="s">
        <v>216</v>
      </c>
      <c r="B52" s="71" t="s">
        <v>221</v>
      </c>
      <c r="C52" s="70" t="s">
        <v>172</v>
      </c>
      <c r="D52" s="72" t="s">
        <v>196</v>
      </c>
      <c r="E52" s="73"/>
      <c r="F52" s="73" t="n">
        <v>31000</v>
      </c>
      <c r="G52" s="73"/>
      <c r="H52" s="73" t="s">
        <v>220</v>
      </c>
      <c r="I52" s="73"/>
      <c r="J52" s="70"/>
      <c r="K52" s="70"/>
      <c r="L52" s="70"/>
      <c r="M52" s="70"/>
    </row>
    <row r="53" customFormat="false" ht="15" hidden="false" customHeight="false" outlineLevel="0" collapsed="false">
      <c r="A53" s="70" t="s">
        <v>216</v>
      </c>
      <c r="B53" s="71" t="s">
        <v>221</v>
      </c>
      <c r="C53" s="70" t="s">
        <v>175</v>
      </c>
      <c r="D53" s="72" t="s">
        <v>178</v>
      </c>
      <c r="E53" s="73"/>
      <c r="F53" s="73" t="n">
        <v>5</v>
      </c>
      <c r="G53" s="73"/>
      <c r="H53" s="73"/>
      <c r="I53" s="73"/>
      <c r="J53" s="70"/>
      <c r="K53" s="70"/>
      <c r="L53" s="70"/>
      <c r="M53" s="70"/>
    </row>
    <row r="54" customFormat="false" ht="15" hidden="false" customHeight="false" outlineLevel="0" collapsed="false">
      <c r="A54" s="70" t="s">
        <v>216</v>
      </c>
      <c r="B54" s="71" t="s">
        <v>222</v>
      </c>
      <c r="C54" s="70" t="s">
        <v>172</v>
      </c>
      <c r="D54" s="72" t="s">
        <v>178</v>
      </c>
      <c r="E54" s="73"/>
      <c r="F54" s="73" t="s">
        <v>223</v>
      </c>
      <c r="G54" s="73"/>
      <c r="H54" s="73" t="s">
        <v>220</v>
      </c>
      <c r="I54" s="73"/>
      <c r="J54" s="70"/>
      <c r="K54" s="70"/>
      <c r="L54" s="70"/>
      <c r="M54" s="70"/>
    </row>
    <row r="55" customFormat="false" ht="15" hidden="false" customHeight="false" outlineLevel="0" collapsed="false">
      <c r="A55" s="70" t="s">
        <v>216</v>
      </c>
      <c r="B55" s="71" t="s">
        <v>222</v>
      </c>
      <c r="C55" s="70" t="s">
        <v>175</v>
      </c>
      <c r="D55" s="72" t="s">
        <v>178</v>
      </c>
      <c r="E55" s="73"/>
      <c r="F55" s="73" t="s">
        <v>224</v>
      </c>
      <c r="G55" s="73"/>
      <c r="H55" s="73" t="s">
        <v>220</v>
      </c>
      <c r="I55" s="73"/>
      <c r="J55" s="70"/>
      <c r="K55" s="70"/>
      <c r="L55" s="70"/>
      <c r="M55" s="70"/>
    </row>
    <row r="56" customFormat="false" ht="15" hidden="false" customHeight="false" outlineLevel="0" collapsed="false">
      <c r="A56" s="70" t="s">
        <v>225</v>
      </c>
      <c r="B56" s="71" t="s">
        <v>226</v>
      </c>
      <c r="C56" s="70" t="s">
        <v>172</v>
      </c>
      <c r="D56" s="72" t="s">
        <v>196</v>
      </c>
      <c r="E56" s="73" t="n">
        <v>364015</v>
      </c>
      <c r="F56" s="73" t="n">
        <v>390016</v>
      </c>
      <c r="G56" s="73" t="n">
        <v>416017</v>
      </c>
      <c r="H56" s="73" t="n">
        <v>780031</v>
      </c>
      <c r="I56" s="73"/>
      <c r="J56" s="70"/>
      <c r="K56" s="70"/>
      <c r="L56" s="70"/>
      <c r="M56" s="70"/>
    </row>
    <row r="57" customFormat="false" ht="15" hidden="false" customHeight="false" outlineLevel="0" collapsed="false">
      <c r="A57" s="70" t="s">
        <v>225</v>
      </c>
      <c r="B57" s="71" t="s">
        <v>226</v>
      </c>
      <c r="C57" s="70" t="s">
        <v>175</v>
      </c>
      <c r="D57" s="72"/>
      <c r="E57" s="73"/>
      <c r="F57" s="73"/>
      <c r="G57" s="73"/>
      <c r="H57" s="73"/>
      <c r="I57" s="73"/>
      <c r="J57" s="70"/>
      <c r="K57" s="70"/>
      <c r="L57" s="70"/>
      <c r="M57" s="70"/>
    </row>
    <row r="58" customFormat="false" ht="15" hidden="false" customHeight="false" outlineLevel="0" collapsed="false">
      <c r="A58" s="70" t="s">
        <v>227</v>
      </c>
      <c r="B58" s="71" t="s">
        <v>228</v>
      </c>
      <c r="C58" s="70" t="s">
        <v>172</v>
      </c>
      <c r="D58" s="72" t="s">
        <v>178</v>
      </c>
      <c r="E58" s="73" t="n">
        <v>50</v>
      </c>
      <c r="F58" s="73" t="n">
        <v>50</v>
      </c>
      <c r="G58" s="73" t="n">
        <v>63</v>
      </c>
      <c r="H58" s="73" t="n">
        <v>75</v>
      </c>
      <c r="I58" s="73" t="n">
        <v>13</v>
      </c>
      <c r="J58" s="73" t="n">
        <v>75</v>
      </c>
      <c r="K58" s="73" t="n">
        <v>29</v>
      </c>
      <c r="L58" s="73" t="n">
        <v>29</v>
      </c>
      <c r="M58" s="73" t="n">
        <v>29</v>
      </c>
    </row>
    <row r="59" customFormat="false" ht="15" hidden="false" customHeight="false" outlineLevel="0" collapsed="false">
      <c r="A59" s="70" t="s">
        <v>227</v>
      </c>
      <c r="B59" s="71" t="s">
        <v>228</v>
      </c>
      <c r="C59" s="70" t="s">
        <v>175</v>
      </c>
      <c r="D59" s="72"/>
      <c r="E59" s="73"/>
      <c r="F59" s="73"/>
      <c r="G59" s="73"/>
      <c r="H59" s="73"/>
      <c r="I59" s="73"/>
      <c r="J59" s="70"/>
      <c r="K59" s="70"/>
      <c r="L59" s="70"/>
      <c r="M59" s="70"/>
    </row>
    <row r="60" customFormat="false" ht="15" hidden="false" customHeight="false" outlineLevel="0" collapsed="false">
      <c r="A60" s="70" t="s">
        <v>227</v>
      </c>
      <c r="B60" s="71" t="s">
        <v>229</v>
      </c>
      <c r="C60" s="70" t="s">
        <v>172</v>
      </c>
      <c r="D60" s="72" t="s">
        <v>178</v>
      </c>
      <c r="E60" s="73" t="s">
        <v>230</v>
      </c>
      <c r="F60" s="73" t="s">
        <v>230</v>
      </c>
      <c r="G60" s="73" t="s">
        <v>230</v>
      </c>
      <c r="H60" s="73" t="s">
        <v>230</v>
      </c>
      <c r="I60" s="73" t="s">
        <v>230</v>
      </c>
      <c r="J60" s="73" t="s">
        <v>230</v>
      </c>
      <c r="K60" s="73" t="s">
        <v>230</v>
      </c>
      <c r="L60" s="73" t="s">
        <v>230</v>
      </c>
      <c r="M60" s="73" t="s">
        <v>230</v>
      </c>
    </row>
    <row r="61" customFormat="false" ht="15" hidden="false" customHeight="false" outlineLevel="0" collapsed="false">
      <c r="A61" s="70" t="s">
        <v>227</v>
      </c>
      <c r="B61" s="71" t="s">
        <v>229</v>
      </c>
      <c r="C61" s="70" t="s">
        <v>175</v>
      </c>
      <c r="D61" s="72"/>
      <c r="E61" s="73"/>
      <c r="F61" s="73"/>
      <c r="G61" s="73"/>
      <c r="H61" s="73"/>
      <c r="I61" s="73"/>
      <c r="J61" s="70"/>
      <c r="K61" s="70"/>
      <c r="L61" s="70"/>
      <c r="M61" s="70"/>
    </row>
    <row r="62" customFormat="false" ht="15" hidden="false" customHeight="false" outlineLevel="0" collapsed="false">
      <c r="A62" s="70" t="s">
        <v>227</v>
      </c>
      <c r="B62" s="71" t="s">
        <v>231</v>
      </c>
      <c r="C62" s="70" t="s">
        <v>172</v>
      </c>
      <c r="D62" s="72" t="s">
        <v>178</v>
      </c>
      <c r="E62" s="73" t="n">
        <v>54</v>
      </c>
      <c r="F62" s="73" t="n">
        <v>54</v>
      </c>
      <c r="G62" s="73" t="n">
        <v>64</v>
      </c>
      <c r="H62" s="73" t="n">
        <v>74</v>
      </c>
      <c r="I62" s="73" t="s">
        <v>232</v>
      </c>
      <c r="J62" s="70"/>
      <c r="K62" s="70"/>
      <c r="L62" s="70"/>
      <c r="M62" s="70"/>
    </row>
    <row r="63" customFormat="false" ht="15" hidden="false" customHeight="false" outlineLevel="0" collapsed="false">
      <c r="A63" s="70" t="s">
        <v>227</v>
      </c>
      <c r="B63" s="71" t="s">
        <v>231</v>
      </c>
      <c r="C63" s="70" t="s">
        <v>175</v>
      </c>
      <c r="D63" s="72"/>
      <c r="E63" s="73"/>
      <c r="F63" s="73"/>
      <c r="G63" s="73"/>
      <c r="H63" s="73"/>
      <c r="I63" s="73"/>
      <c r="J63" s="70"/>
      <c r="K63" s="70"/>
      <c r="L63" s="70"/>
      <c r="M63" s="70"/>
    </row>
    <row r="64" customFormat="false" ht="15" hidden="false" customHeight="false" outlineLevel="0" collapsed="false">
      <c r="A64" s="70" t="s">
        <v>227</v>
      </c>
      <c r="B64" s="71" t="s">
        <v>233</v>
      </c>
      <c r="C64" s="70" t="s">
        <v>172</v>
      </c>
      <c r="D64" s="72" t="s">
        <v>178</v>
      </c>
      <c r="E64" s="73" t="n">
        <v>22</v>
      </c>
      <c r="F64" s="73" t="n">
        <v>22</v>
      </c>
      <c r="G64" s="73" t="n">
        <v>30</v>
      </c>
      <c r="H64" s="73" t="n">
        <v>32</v>
      </c>
      <c r="I64" s="73" t="s">
        <v>232</v>
      </c>
      <c r="J64" s="70"/>
      <c r="K64" s="73" t="n">
        <v>4</v>
      </c>
      <c r="L64" s="73" t="n">
        <v>15</v>
      </c>
      <c r="M64" s="73" t="n">
        <v>15</v>
      </c>
    </row>
    <row r="65" customFormat="false" ht="15" hidden="false" customHeight="false" outlineLevel="0" collapsed="false">
      <c r="A65" s="70" t="s">
        <v>227</v>
      </c>
      <c r="B65" s="71" t="s">
        <v>233</v>
      </c>
      <c r="C65" s="70" t="s">
        <v>175</v>
      </c>
      <c r="D65" s="72"/>
      <c r="E65" s="73"/>
      <c r="F65" s="73"/>
      <c r="G65" s="73"/>
      <c r="H65" s="73"/>
      <c r="I65" s="73"/>
      <c r="J65" s="70"/>
      <c r="K65" s="70"/>
      <c r="L65" s="70"/>
      <c r="M65" s="70"/>
    </row>
    <row r="66" customFormat="false" ht="15" hidden="false" customHeight="false" outlineLevel="0" collapsed="false">
      <c r="A66" s="70" t="s">
        <v>227</v>
      </c>
      <c r="B66" s="71" t="s">
        <v>234</v>
      </c>
      <c r="C66" s="70" t="s">
        <v>172</v>
      </c>
      <c r="D66" s="72" t="s">
        <v>178</v>
      </c>
      <c r="E66" s="73" t="n">
        <v>40</v>
      </c>
      <c r="F66" s="73" t="n">
        <v>43</v>
      </c>
      <c r="G66" s="73" t="n">
        <v>40</v>
      </c>
      <c r="H66" s="73" t="n">
        <v>57</v>
      </c>
      <c r="I66" s="73" t="n">
        <v>15</v>
      </c>
      <c r="J66" s="70"/>
      <c r="K66" s="73" t="n">
        <v>5</v>
      </c>
      <c r="L66" s="70"/>
      <c r="M66" s="70"/>
    </row>
    <row r="67" customFormat="false" ht="15" hidden="false" customHeight="false" outlineLevel="0" collapsed="false">
      <c r="A67" s="70" t="s">
        <v>227</v>
      </c>
      <c r="B67" s="71" t="s">
        <v>234</v>
      </c>
      <c r="C67" s="70" t="s">
        <v>175</v>
      </c>
      <c r="D67" s="72"/>
      <c r="E67" s="73"/>
      <c r="F67" s="73"/>
      <c r="G67" s="73"/>
      <c r="H67" s="73"/>
      <c r="I67" s="73"/>
      <c r="J67" s="70"/>
      <c r="K67" s="70"/>
      <c r="L67" s="70"/>
      <c r="M67" s="70"/>
    </row>
    <row r="68" customFormat="false" ht="15" hidden="false" customHeight="false" outlineLevel="0" collapsed="false">
      <c r="A68" s="70" t="s">
        <v>227</v>
      </c>
      <c r="B68" s="71" t="s">
        <v>235</v>
      </c>
      <c r="C68" s="70" t="s">
        <v>172</v>
      </c>
      <c r="D68" s="72" t="s">
        <v>173</v>
      </c>
      <c r="E68" s="73" t="n">
        <v>45</v>
      </c>
      <c r="F68" s="73" t="n">
        <v>45</v>
      </c>
      <c r="G68" s="73" t="n">
        <v>48</v>
      </c>
      <c r="H68" s="73" t="n">
        <v>66</v>
      </c>
      <c r="I68" s="73" t="s">
        <v>232</v>
      </c>
      <c r="J68" s="73" t="n">
        <v>74</v>
      </c>
      <c r="K68" s="70"/>
      <c r="L68" s="70"/>
      <c r="M68" s="70"/>
    </row>
    <row r="69" customFormat="false" ht="15" hidden="false" customHeight="false" outlineLevel="0" collapsed="false">
      <c r="A69" s="70" t="s">
        <v>227</v>
      </c>
      <c r="B69" s="71" t="s">
        <v>235</v>
      </c>
      <c r="C69" s="70" t="s">
        <v>175</v>
      </c>
      <c r="D69" s="72"/>
      <c r="E69" s="73"/>
      <c r="F69" s="73"/>
      <c r="G69" s="73"/>
      <c r="H69" s="73"/>
      <c r="I69" s="73"/>
      <c r="J69" s="70"/>
      <c r="K69" s="70"/>
      <c r="L69" s="70"/>
      <c r="M69" s="70"/>
    </row>
    <row r="70" customFormat="false" ht="15" hidden="false" customHeight="false" outlineLevel="0" collapsed="false">
      <c r="A70" s="70" t="s">
        <v>227</v>
      </c>
      <c r="B70" s="71" t="s">
        <v>236</v>
      </c>
      <c r="C70" s="70" t="s">
        <v>172</v>
      </c>
      <c r="D70" s="72" t="s">
        <v>178</v>
      </c>
      <c r="E70" s="73" t="n">
        <v>36</v>
      </c>
      <c r="F70" s="73" t="n">
        <v>44</v>
      </c>
      <c r="G70" s="73" t="n">
        <v>44</v>
      </c>
      <c r="H70" s="73" t="n">
        <v>52</v>
      </c>
      <c r="I70" s="73" t="n">
        <v>6</v>
      </c>
      <c r="J70" s="73" t="n">
        <v>65</v>
      </c>
      <c r="K70" s="70"/>
      <c r="L70" s="70"/>
      <c r="M70" s="70"/>
    </row>
    <row r="71" customFormat="false" ht="15" hidden="false" customHeight="false" outlineLevel="0" collapsed="false">
      <c r="A71" s="70" t="s">
        <v>227</v>
      </c>
      <c r="B71" s="71" t="s">
        <v>236</v>
      </c>
      <c r="C71" s="70" t="s">
        <v>175</v>
      </c>
      <c r="D71" s="72"/>
      <c r="E71" s="73"/>
      <c r="F71" s="73"/>
      <c r="G71" s="73"/>
      <c r="H71" s="73"/>
      <c r="I71" s="73"/>
      <c r="J71" s="70"/>
      <c r="K71" s="70"/>
      <c r="L71" s="70"/>
      <c r="M71" s="70"/>
    </row>
    <row r="72" customFormat="false" ht="15" hidden="false" customHeight="false" outlineLevel="0" collapsed="false">
      <c r="A72" s="70" t="s">
        <v>237</v>
      </c>
      <c r="B72" s="71" t="s">
        <v>238</v>
      </c>
      <c r="C72" s="70" t="s">
        <v>172</v>
      </c>
      <c r="D72" s="72" t="s">
        <v>196</v>
      </c>
      <c r="E72" s="73" t="n">
        <v>100000</v>
      </c>
      <c r="F72" s="73" t="n">
        <v>100000</v>
      </c>
      <c r="G72" s="73" t="n">
        <v>100000</v>
      </c>
      <c r="H72" s="73" t="n">
        <v>100000</v>
      </c>
      <c r="I72" s="73" t="s">
        <v>239</v>
      </c>
      <c r="J72" s="70"/>
      <c r="K72" s="70"/>
      <c r="L72" s="70"/>
      <c r="M72" s="70"/>
    </row>
    <row r="73" customFormat="false" ht="15" hidden="false" customHeight="false" outlineLevel="0" collapsed="false">
      <c r="A73" s="70" t="s">
        <v>237</v>
      </c>
      <c r="B73" s="71" t="s">
        <v>238</v>
      </c>
      <c r="C73" s="70" t="s">
        <v>175</v>
      </c>
      <c r="D73" s="72"/>
      <c r="E73" s="73"/>
      <c r="F73" s="73"/>
      <c r="G73" s="73"/>
      <c r="H73" s="73"/>
      <c r="I73" s="73"/>
      <c r="J73" s="70"/>
      <c r="K73" s="70"/>
      <c r="L73" s="70"/>
      <c r="M73" s="70"/>
    </row>
    <row r="74" customFormat="false" ht="15" hidden="false" customHeight="false" outlineLevel="0" collapsed="false">
      <c r="A74" s="70" t="s">
        <v>237</v>
      </c>
      <c r="B74" s="71" t="s">
        <v>240</v>
      </c>
      <c r="C74" s="70" t="s">
        <v>172</v>
      </c>
      <c r="D74" s="72" t="s">
        <v>178</v>
      </c>
      <c r="E74" s="73" t="n">
        <v>13</v>
      </c>
      <c r="F74" s="73" t="n">
        <v>14</v>
      </c>
      <c r="G74" s="73" t="n">
        <v>14</v>
      </c>
      <c r="H74" s="73"/>
      <c r="I74" s="73" t="s">
        <v>241</v>
      </c>
      <c r="J74" s="70"/>
      <c r="K74" s="70" t="s">
        <v>174</v>
      </c>
      <c r="L74" s="70"/>
      <c r="M74" s="70"/>
    </row>
    <row r="75" customFormat="false" ht="15" hidden="false" customHeight="false" outlineLevel="0" collapsed="false">
      <c r="A75" s="70" t="s">
        <v>237</v>
      </c>
      <c r="B75" s="71" t="s">
        <v>240</v>
      </c>
      <c r="C75" s="70" t="s">
        <v>175</v>
      </c>
      <c r="D75" s="72"/>
      <c r="E75" s="73"/>
      <c r="F75" s="73"/>
      <c r="G75" s="73"/>
      <c r="H75" s="73"/>
      <c r="I75" s="73"/>
      <c r="J75" s="70"/>
      <c r="K75" s="70"/>
      <c r="L75" s="70"/>
      <c r="M75" s="70"/>
    </row>
    <row r="76" customFormat="false" ht="15" hidden="false" customHeight="false" outlineLevel="0" collapsed="false">
      <c r="A76" s="70" t="s">
        <v>237</v>
      </c>
      <c r="B76" s="71" t="s">
        <v>242</v>
      </c>
      <c r="C76" s="70" t="s">
        <v>172</v>
      </c>
      <c r="D76" s="72" t="s">
        <v>178</v>
      </c>
      <c r="E76" s="73"/>
      <c r="F76" s="73" t="n">
        <v>36</v>
      </c>
      <c r="G76" s="73" t="n">
        <v>39</v>
      </c>
      <c r="H76" s="73" t="n">
        <v>39</v>
      </c>
      <c r="I76" s="73" t="s">
        <v>241</v>
      </c>
      <c r="J76" s="70"/>
      <c r="K76" s="70" t="n">
        <v>5</v>
      </c>
      <c r="L76" s="70"/>
      <c r="M76" s="70"/>
    </row>
    <row r="77" customFormat="false" ht="15" hidden="false" customHeight="false" outlineLevel="0" collapsed="false">
      <c r="A77" s="70" t="s">
        <v>237</v>
      </c>
      <c r="B77" s="71" t="s">
        <v>242</v>
      </c>
      <c r="C77" s="70" t="s">
        <v>175</v>
      </c>
      <c r="D77" s="72"/>
      <c r="E77" s="73"/>
      <c r="F77" s="73"/>
      <c r="G77" s="73"/>
      <c r="H77" s="73"/>
      <c r="I77" s="73"/>
      <c r="J77" s="70"/>
      <c r="K77" s="70"/>
      <c r="L77" s="70"/>
      <c r="M77" s="70"/>
    </row>
    <row r="78" customFormat="false" ht="15" hidden="false" customHeight="false" outlineLevel="0" collapsed="false">
      <c r="A78" s="70" t="s">
        <v>237</v>
      </c>
      <c r="B78" s="71" t="s">
        <v>243</v>
      </c>
      <c r="C78" s="70" t="s">
        <v>172</v>
      </c>
      <c r="D78" s="72" t="s">
        <v>178</v>
      </c>
      <c r="E78" s="73"/>
      <c r="F78" s="73" t="n">
        <v>14</v>
      </c>
      <c r="G78" s="73"/>
      <c r="H78" s="73"/>
      <c r="I78" s="73"/>
      <c r="J78" s="70"/>
      <c r="K78" s="70" t="s">
        <v>174</v>
      </c>
      <c r="L78" s="70"/>
      <c r="M78" s="70"/>
    </row>
    <row r="79" customFormat="false" ht="15" hidden="false" customHeight="false" outlineLevel="0" collapsed="false">
      <c r="A79" s="70" t="s">
        <v>237</v>
      </c>
      <c r="B79" s="71" t="s">
        <v>243</v>
      </c>
      <c r="C79" s="70" t="s">
        <v>175</v>
      </c>
      <c r="D79" s="72"/>
      <c r="E79" s="73"/>
      <c r="F79" s="73"/>
      <c r="G79" s="73"/>
      <c r="H79" s="73"/>
      <c r="I79" s="73"/>
      <c r="J79" s="70"/>
      <c r="K79" s="70"/>
      <c r="L79" s="70"/>
      <c r="M79" s="70"/>
    </row>
    <row r="80" customFormat="false" ht="15" hidden="false" customHeight="false" outlineLevel="0" collapsed="false">
      <c r="A80" s="70" t="s">
        <v>244</v>
      </c>
      <c r="B80" s="71" t="s">
        <v>245</v>
      </c>
      <c r="C80" s="70" t="s">
        <v>172</v>
      </c>
      <c r="D80" s="72"/>
      <c r="E80" s="73"/>
      <c r="F80" s="73"/>
      <c r="G80" s="73"/>
      <c r="H80" s="73"/>
      <c r="I80" s="73"/>
      <c r="J80" s="70"/>
      <c r="K80" s="70"/>
      <c r="L80" s="70"/>
      <c r="M80" s="70"/>
    </row>
    <row r="81" customFormat="false" ht="15" hidden="false" customHeight="false" outlineLevel="0" collapsed="false">
      <c r="A81" s="70" t="s">
        <v>244</v>
      </c>
      <c r="B81" s="71" t="s">
        <v>245</v>
      </c>
      <c r="C81" s="70" t="s">
        <v>175</v>
      </c>
      <c r="D81" s="72"/>
      <c r="E81" s="73"/>
      <c r="F81" s="73"/>
      <c r="G81" s="73"/>
      <c r="H81" s="73"/>
      <c r="I81" s="73"/>
      <c r="J81" s="70"/>
      <c r="K81" s="70"/>
      <c r="L81" s="70"/>
      <c r="M81" s="70"/>
    </row>
    <row r="82" customFormat="false" ht="15" hidden="false" customHeight="false" outlineLevel="0" collapsed="false">
      <c r="A82" s="70" t="s">
        <v>244</v>
      </c>
      <c r="B82" s="71" t="s">
        <v>246</v>
      </c>
      <c r="C82" s="70" t="s">
        <v>172</v>
      </c>
      <c r="D82" s="72" t="s">
        <v>178</v>
      </c>
      <c r="E82" s="73" t="n">
        <v>20</v>
      </c>
      <c r="F82" s="73" t="n">
        <v>25</v>
      </c>
      <c r="G82" s="73" t="n">
        <v>25</v>
      </c>
      <c r="H82" s="73" t="n">
        <v>27</v>
      </c>
      <c r="I82" s="73"/>
      <c r="J82" s="70"/>
      <c r="K82" s="70"/>
      <c r="L82" s="70"/>
      <c r="M82" s="70"/>
    </row>
    <row r="83" customFormat="false" ht="15" hidden="false" customHeight="false" outlineLevel="0" collapsed="false">
      <c r="A83" s="70" t="s">
        <v>244</v>
      </c>
      <c r="B83" s="71" t="s">
        <v>246</v>
      </c>
      <c r="C83" s="70" t="s">
        <v>175</v>
      </c>
      <c r="D83" s="72"/>
      <c r="E83" s="73"/>
      <c r="F83" s="73"/>
      <c r="G83" s="73"/>
      <c r="H83" s="73"/>
      <c r="I83" s="73"/>
      <c r="J83" s="70"/>
      <c r="K83" s="70"/>
      <c r="L83" s="70"/>
      <c r="M83" s="70"/>
    </row>
    <row r="84" customFormat="false" ht="15" hidden="false" customHeight="false" outlineLevel="0" collapsed="false">
      <c r="A84" s="70" t="s">
        <v>244</v>
      </c>
      <c r="B84" s="71" t="s">
        <v>247</v>
      </c>
      <c r="C84" s="70" t="s">
        <v>172</v>
      </c>
      <c r="D84" s="72" t="s">
        <v>178</v>
      </c>
      <c r="E84" s="73" t="n">
        <v>15</v>
      </c>
      <c r="F84" s="73" t="n">
        <v>16</v>
      </c>
      <c r="G84" s="73" t="n">
        <v>16</v>
      </c>
      <c r="H84" s="73"/>
      <c r="I84" s="73"/>
      <c r="J84" s="70"/>
      <c r="K84" s="70" t="n">
        <v>6</v>
      </c>
      <c r="L84" s="70"/>
      <c r="M84" s="70"/>
    </row>
    <row r="85" customFormat="false" ht="15" hidden="false" customHeight="false" outlineLevel="0" collapsed="false">
      <c r="A85" s="70" t="s">
        <v>244</v>
      </c>
      <c r="B85" s="71" t="s">
        <v>247</v>
      </c>
      <c r="C85" s="70" t="s">
        <v>175</v>
      </c>
      <c r="D85" s="72"/>
      <c r="E85" s="73"/>
      <c r="F85" s="73"/>
      <c r="G85" s="73"/>
      <c r="H85" s="73"/>
      <c r="I85" s="73"/>
      <c r="J85" s="70"/>
      <c r="K85" s="70"/>
      <c r="L85" s="70"/>
      <c r="M85" s="70"/>
    </row>
    <row r="86" customFormat="false" ht="15" hidden="false" customHeight="false" outlineLevel="0" collapsed="false">
      <c r="A86" s="70" t="s">
        <v>244</v>
      </c>
      <c r="B86" s="71" t="s">
        <v>248</v>
      </c>
      <c r="C86" s="70" t="s">
        <v>172</v>
      </c>
      <c r="D86" s="72" t="s">
        <v>178</v>
      </c>
      <c r="E86" s="73" t="n">
        <v>32</v>
      </c>
      <c r="F86" s="73" t="n">
        <v>32</v>
      </c>
      <c r="G86" s="73" t="n">
        <v>32</v>
      </c>
      <c r="H86" s="73" t="n">
        <v>32</v>
      </c>
      <c r="I86" s="73"/>
      <c r="J86" s="70"/>
      <c r="K86" s="73" t="s">
        <v>174</v>
      </c>
      <c r="L86" s="70"/>
      <c r="M86" s="70"/>
    </row>
    <row r="87" customFormat="false" ht="15" hidden="false" customHeight="false" outlineLevel="0" collapsed="false">
      <c r="A87" s="70" t="s">
        <v>244</v>
      </c>
      <c r="B87" s="71" t="s">
        <v>248</v>
      </c>
      <c r="C87" s="70" t="s">
        <v>175</v>
      </c>
      <c r="D87" s="72"/>
      <c r="E87" s="73"/>
      <c r="F87" s="73"/>
      <c r="G87" s="73"/>
      <c r="H87" s="73"/>
      <c r="I87" s="73"/>
      <c r="J87" s="70"/>
      <c r="K87" s="70"/>
      <c r="L87" s="70"/>
      <c r="M87" s="70"/>
    </row>
    <row r="88" customFormat="false" ht="15" hidden="false" customHeight="false" outlineLevel="0" collapsed="false">
      <c r="A88" s="70" t="s">
        <v>244</v>
      </c>
      <c r="B88" s="71" t="s">
        <v>249</v>
      </c>
      <c r="C88" s="70" t="s">
        <v>172</v>
      </c>
      <c r="D88" s="72" t="s">
        <v>196</v>
      </c>
      <c r="E88" s="73" t="n">
        <v>80000</v>
      </c>
      <c r="F88" s="73" t="n">
        <v>80000</v>
      </c>
      <c r="G88" s="73" t="n">
        <v>120000</v>
      </c>
      <c r="H88" s="73" t="n">
        <v>120000</v>
      </c>
      <c r="I88" s="73" t="s">
        <v>241</v>
      </c>
      <c r="J88" s="70"/>
      <c r="K88" s="70"/>
      <c r="L88" s="70"/>
      <c r="M88" s="70"/>
    </row>
    <row r="89" customFormat="false" ht="15" hidden="false" customHeight="false" outlineLevel="0" collapsed="false">
      <c r="A89" s="70" t="s">
        <v>244</v>
      </c>
      <c r="B89" s="71" t="s">
        <v>249</v>
      </c>
      <c r="C89" s="70" t="s">
        <v>175</v>
      </c>
      <c r="D89" s="72"/>
      <c r="E89" s="73"/>
      <c r="F89" s="73"/>
      <c r="G89" s="73"/>
      <c r="H89" s="73"/>
      <c r="I89" s="73"/>
      <c r="J89" s="70"/>
      <c r="K89" s="70"/>
      <c r="L89" s="70"/>
      <c r="M89" s="70"/>
    </row>
    <row r="90" customFormat="false" ht="15" hidden="false" customHeight="false" outlineLevel="0" collapsed="false">
      <c r="A90" s="70" t="s">
        <v>250</v>
      </c>
      <c r="B90" s="71" t="s">
        <v>251</v>
      </c>
      <c r="C90" s="70" t="s">
        <v>172</v>
      </c>
      <c r="D90" s="72" t="s">
        <v>196</v>
      </c>
      <c r="E90" s="73" t="n">
        <v>99000</v>
      </c>
      <c r="F90" s="73" t="n">
        <v>154000</v>
      </c>
      <c r="G90" s="73" t="n">
        <v>99000</v>
      </c>
      <c r="H90" s="73" t="n">
        <v>198000</v>
      </c>
      <c r="I90" s="73" t="s">
        <v>241</v>
      </c>
      <c r="J90" s="70"/>
      <c r="K90" s="70"/>
      <c r="L90" s="70"/>
      <c r="M90" s="70"/>
    </row>
    <row r="91" customFormat="false" ht="15" hidden="false" customHeight="false" outlineLevel="0" collapsed="false">
      <c r="A91" s="70" t="s">
        <v>250</v>
      </c>
      <c r="B91" s="71" t="s">
        <v>251</v>
      </c>
      <c r="C91" s="70" t="s">
        <v>175</v>
      </c>
      <c r="D91" s="72"/>
      <c r="E91" s="73"/>
      <c r="F91" s="73"/>
      <c r="G91" s="73"/>
      <c r="H91" s="73"/>
      <c r="I91" s="73"/>
      <c r="J91" s="70"/>
      <c r="K91" s="70"/>
      <c r="L91" s="70"/>
      <c r="M91" s="70"/>
    </row>
    <row r="92" customFormat="false" ht="15" hidden="false" customHeight="false" outlineLevel="0" collapsed="false">
      <c r="A92" s="70" t="s">
        <v>250</v>
      </c>
      <c r="B92" s="71" t="s">
        <v>252</v>
      </c>
      <c r="C92" s="70" t="s">
        <v>172</v>
      </c>
      <c r="D92" s="72" t="s">
        <v>178</v>
      </c>
      <c r="E92" s="73"/>
      <c r="F92" s="73" t="n">
        <v>32</v>
      </c>
      <c r="G92" s="73" t="n">
        <v>65</v>
      </c>
      <c r="H92" s="73" t="n">
        <v>97</v>
      </c>
      <c r="I92" s="73" t="s">
        <v>253</v>
      </c>
      <c r="J92" s="70"/>
      <c r="K92" s="70" t="n">
        <v>4</v>
      </c>
      <c r="L92" s="70"/>
      <c r="M92" s="70"/>
    </row>
    <row r="93" customFormat="false" ht="15" hidden="false" customHeight="false" outlineLevel="0" collapsed="false">
      <c r="A93" s="70" t="s">
        <v>250</v>
      </c>
      <c r="B93" s="71" t="s">
        <v>252</v>
      </c>
      <c r="C93" s="70" t="s">
        <v>175</v>
      </c>
      <c r="D93" s="72"/>
      <c r="E93" s="73"/>
      <c r="F93" s="73"/>
      <c r="G93" s="73"/>
      <c r="H93" s="73"/>
      <c r="I93" s="73"/>
      <c r="J93" s="70"/>
      <c r="K93" s="70"/>
      <c r="L93" s="70"/>
      <c r="M93" s="70"/>
    </row>
    <row r="94" customFormat="false" ht="15" hidden="false" customHeight="false" outlineLevel="0" collapsed="false">
      <c r="A94" s="70" t="s">
        <v>250</v>
      </c>
      <c r="B94" s="71" t="s">
        <v>254</v>
      </c>
      <c r="C94" s="70" t="s">
        <v>172</v>
      </c>
      <c r="D94" s="72"/>
      <c r="E94" s="73"/>
      <c r="F94" s="73"/>
      <c r="G94" s="73"/>
      <c r="H94" s="73"/>
      <c r="I94" s="73"/>
      <c r="J94" s="70"/>
      <c r="K94" s="70"/>
      <c r="L94" s="70"/>
      <c r="M94" s="70"/>
    </row>
    <row r="95" customFormat="false" ht="15" hidden="false" customHeight="false" outlineLevel="0" collapsed="false">
      <c r="A95" s="70" t="s">
        <v>250</v>
      </c>
      <c r="B95" s="71" t="s">
        <v>254</v>
      </c>
      <c r="C95" s="70" t="s">
        <v>175</v>
      </c>
      <c r="D95" s="72"/>
      <c r="E95" s="73"/>
      <c r="F95" s="73"/>
      <c r="G95" s="73"/>
      <c r="H95" s="73"/>
      <c r="I95" s="73"/>
      <c r="J95" s="70"/>
      <c r="K95" s="70"/>
      <c r="L95" s="70"/>
      <c r="M95" s="70"/>
    </row>
    <row r="96" customFormat="false" ht="15" hidden="false" customHeight="false" outlineLevel="0" collapsed="false">
      <c r="A96" s="70" t="s">
        <v>250</v>
      </c>
      <c r="B96" s="71" t="s">
        <v>255</v>
      </c>
      <c r="C96" s="70" t="s">
        <v>172</v>
      </c>
      <c r="D96" s="72"/>
      <c r="E96" s="73"/>
      <c r="F96" s="73"/>
      <c r="G96" s="73"/>
      <c r="H96" s="73"/>
      <c r="I96" s="73"/>
      <c r="J96" s="70"/>
      <c r="K96" s="70"/>
      <c r="L96" s="70"/>
      <c r="M96" s="70"/>
    </row>
    <row r="97" customFormat="false" ht="15" hidden="false" customHeight="false" outlineLevel="0" collapsed="false">
      <c r="A97" s="70" t="s">
        <v>250</v>
      </c>
      <c r="B97" s="71" t="s">
        <v>255</v>
      </c>
      <c r="C97" s="70" t="s">
        <v>175</v>
      </c>
      <c r="D97" s="72"/>
      <c r="E97" s="73"/>
      <c r="F97" s="73"/>
      <c r="G97" s="73"/>
      <c r="H97" s="73"/>
      <c r="I97" s="73"/>
      <c r="J97" s="70"/>
      <c r="K97" s="70"/>
      <c r="L97" s="70"/>
      <c r="M97" s="70"/>
    </row>
    <row r="98" customFormat="false" ht="15" hidden="false" customHeight="false" outlineLevel="0" collapsed="false">
      <c r="A98" s="70" t="s">
        <v>256</v>
      </c>
      <c r="B98" s="71" t="s">
        <v>257</v>
      </c>
      <c r="C98" s="70" t="s">
        <v>172</v>
      </c>
      <c r="D98" s="72" t="s">
        <v>178</v>
      </c>
      <c r="E98" s="73" t="n">
        <v>23</v>
      </c>
      <c r="F98" s="73" t="n">
        <v>25</v>
      </c>
      <c r="G98" s="73" t="n">
        <v>25</v>
      </c>
      <c r="H98" s="73" t="n">
        <v>35</v>
      </c>
      <c r="I98" s="73" t="s">
        <v>253</v>
      </c>
      <c r="J98" s="70"/>
      <c r="K98" s="73" t="n">
        <v>3</v>
      </c>
      <c r="L98" s="70"/>
      <c r="M98" s="70"/>
    </row>
    <row r="99" customFormat="false" ht="15" hidden="false" customHeight="false" outlineLevel="0" collapsed="false">
      <c r="A99" s="70" t="s">
        <v>256</v>
      </c>
      <c r="B99" s="71" t="s">
        <v>257</v>
      </c>
      <c r="C99" s="70" t="s">
        <v>175</v>
      </c>
      <c r="D99" s="72"/>
      <c r="E99" s="73"/>
      <c r="F99" s="73"/>
      <c r="G99" s="73"/>
      <c r="H99" s="73"/>
      <c r="I99" s="73"/>
      <c r="J99" s="70"/>
      <c r="K99" s="70"/>
      <c r="L99" s="70"/>
      <c r="M99" s="70"/>
    </row>
    <row r="100" customFormat="false" ht="15" hidden="false" customHeight="false" outlineLevel="0" collapsed="false">
      <c r="A100" s="70" t="s">
        <v>258</v>
      </c>
      <c r="B100" s="71" t="s">
        <v>259</v>
      </c>
      <c r="C100" s="70" t="s">
        <v>172</v>
      </c>
      <c r="D100" s="72" t="s">
        <v>178</v>
      </c>
      <c r="E100" s="73" t="n">
        <v>120</v>
      </c>
      <c r="F100" s="73" t="n">
        <v>120</v>
      </c>
      <c r="G100" s="73" t="n">
        <v>120</v>
      </c>
      <c r="H100" s="73" t="n">
        <v>120</v>
      </c>
      <c r="I100" s="73" t="s">
        <v>253</v>
      </c>
      <c r="J100" s="70"/>
      <c r="K100" s="70"/>
      <c r="L100" s="70"/>
      <c r="M100" s="70"/>
    </row>
    <row r="101" customFormat="false" ht="15" hidden="false" customHeight="false" outlineLevel="0" collapsed="false">
      <c r="A101" s="70" t="s">
        <v>258</v>
      </c>
      <c r="B101" s="71" t="s">
        <v>259</v>
      </c>
      <c r="C101" s="70" t="s">
        <v>175</v>
      </c>
      <c r="D101" s="72"/>
      <c r="E101" s="73"/>
      <c r="F101" s="73"/>
      <c r="G101" s="73"/>
      <c r="H101" s="73"/>
      <c r="I101" s="73"/>
      <c r="J101" s="70"/>
      <c r="K101" s="70"/>
      <c r="L101" s="70"/>
      <c r="M101" s="70"/>
    </row>
    <row r="102" customFormat="false" ht="15" hidden="false" customHeight="false" outlineLevel="0" collapsed="false">
      <c r="A102" s="70" t="s">
        <v>260</v>
      </c>
      <c r="B102" s="71" t="s">
        <v>261</v>
      </c>
      <c r="C102" s="70" t="s">
        <v>172</v>
      </c>
      <c r="D102" s="72" t="s">
        <v>262</v>
      </c>
      <c r="E102" s="73" t="n">
        <v>39</v>
      </c>
      <c r="F102" s="73" t="n">
        <v>34</v>
      </c>
      <c r="G102" s="73" t="n">
        <v>44</v>
      </c>
      <c r="H102" s="73" t="n">
        <v>77</v>
      </c>
      <c r="I102" s="73" t="s">
        <v>253</v>
      </c>
      <c r="J102" s="70"/>
      <c r="K102" s="70"/>
      <c r="L102" s="70"/>
      <c r="M102" s="70"/>
    </row>
    <row r="103" customFormat="false" ht="15" hidden="false" customHeight="false" outlineLevel="0" collapsed="false">
      <c r="A103" s="70" t="s">
        <v>260</v>
      </c>
      <c r="B103" s="71" t="s">
        <v>261</v>
      </c>
      <c r="C103" s="70" t="s">
        <v>175</v>
      </c>
      <c r="D103" s="72"/>
      <c r="E103" s="73"/>
      <c r="F103" s="73"/>
      <c r="G103" s="73"/>
      <c r="H103" s="73"/>
      <c r="I103" s="73"/>
      <c r="J103" s="70"/>
      <c r="K103" s="70"/>
      <c r="L103" s="70"/>
      <c r="M103" s="70"/>
    </row>
    <row r="104" customFormat="false" ht="15" hidden="false" customHeight="false" outlineLevel="0" collapsed="false">
      <c r="A104" s="70" t="s">
        <v>260</v>
      </c>
      <c r="B104" s="71" t="s">
        <v>263</v>
      </c>
      <c r="C104" s="70" t="s">
        <v>172</v>
      </c>
      <c r="D104" s="72" t="s">
        <v>178</v>
      </c>
      <c r="E104" s="73" t="n">
        <v>13</v>
      </c>
      <c r="F104" s="73" t="n">
        <v>15</v>
      </c>
      <c r="G104" s="73" t="n">
        <v>17</v>
      </c>
      <c r="H104" s="73" t="n">
        <v>28</v>
      </c>
      <c r="I104" s="73" t="s">
        <v>253</v>
      </c>
      <c r="J104" s="73" t="n">
        <v>35</v>
      </c>
      <c r="K104" s="70"/>
      <c r="L104" s="70"/>
      <c r="M104" s="70"/>
    </row>
    <row r="105" customFormat="false" ht="15" hidden="false" customHeight="false" outlineLevel="0" collapsed="false">
      <c r="A105" s="70" t="s">
        <v>260</v>
      </c>
      <c r="B105" s="71" t="s">
        <v>263</v>
      </c>
      <c r="C105" s="70" t="s">
        <v>175</v>
      </c>
      <c r="D105" s="72"/>
      <c r="E105" s="73"/>
      <c r="F105" s="73"/>
      <c r="G105" s="73"/>
      <c r="H105" s="73"/>
      <c r="I105" s="73"/>
      <c r="J105" s="70"/>
      <c r="K105" s="70"/>
      <c r="L105" s="70"/>
      <c r="M105" s="70"/>
    </row>
    <row r="106" customFormat="false" ht="15" hidden="false" customHeight="false" outlineLevel="0" collapsed="false">
      <c r="A106" s="70" t="s">
        <v>260</v>
      </c>
      <c r="B106" s="71" t="s">
        <v>264</v>
      </c>
      <c r="C106" s="70" t="s">
        <v>172</v>
      </c>
      <c r="D106" s="72" t="s">
        <v>262</v>
      </c>
      <c r="E106" s="73" t="n">
        <v>31</v>
      </c>
      <c r="F106" s="73" t="n">
        <v>35</v>
      </c>
      <c r="G106" s="73" t="n">
        <v>48</v>
      </c>
      <c r="H106" s="73"/>
      <c r="I106" s="73" t="s">
        <v>241</v>
      </c>
      <c r="J106" s="70"/>
      <c r="K106" s="73" t="s">
        <v>174</v>
      </c>
      <c r="L106" s="70"/>
      <c r="M106" s="70"/>
    </row>
    <row r="107" customFormat="false" ht="15" hidden="false" customHeight="false" outlineLevel="0" collapsed="false">
      <c r="A107" s="70" t="s">
        <v>260</v>
      </c>
      <c r="B107" s="71" t="s">
        <v>264</v>
      </c>
      <c r="C107" s="70" t="s">
        <v>175</v>
      </c>
      <c r="D107" s="72"/>
      <c r="E107" s="73"/>
      <c r="F107" s="73"/>
      <c r="G107" s="73"/>
      <c r="H107" s="73"/>
      <c r="I107" s="73"/>
      <c r="J107" s="70"/>
      <c r="K107" s="70"/>
      <c r="L107" s="70"/>
      <c r="M107" s="70"/>
    </row>
    <row r="108" customFormat="false" ht="15" hidden="false" customHeight="false" outlineLevel="0" collapsed="false">
      <c r="A108" s="70" t="s">
        <v>260</v>
      </c>
      <c r="B108" s="71" t="s">
        <v>265</v>
      </c>
      <c r="C108" s="70" t="s">
        <v>172</v>
      </c>
      <c r="D108" s="72" t="s">
        <v>262</v>
      </c>
      <c r="E108" s="73" t="n">
        <v>8</v>
      </c>
      <c r="F108" s="73" t="n">
        <v>19</v>
      </c>
      <c r="G108" s="73" t="n">
        <v>19</v>
      </c>
      <c r="H108" s="73" t="n">
        <v>21</v>
      </c>
      <c r="I108" s="73" t="s">
        <v>253</v>
      </c>
      <c r="J108" s="70"/>
      <c r="K108" s="70"/>
      <c r="L108" s="70"/>
      <c r="M108" s="70"/>
    </row>
    <row r="109" customFormat="false" ht="15" hidden="false" customHeight="false" outlineLevel="0" collapsed="false">
      <c r="A109" s="70" t="s">
        <v>260</v>
      </c>
      <c r="B109" s="71" t="s">
        <v>265</v>
      </c>
      <c r="C109" s="70" t="s">
        <v>175</v>
      </c>
      <c r="D109" s="72"/>
      <c r="E109" s="73"/>
      <c r="F109" s="73"/>
      <c r="G109" s="73"/>
      <c r="H109" s="73"/>
      <c r="I109" s="73"/>
      <c r="J109" s="70"/>
      <c r="K109" s="70"/>
      <c r="L109" s="70"/>
      <c r="M109" s="70"/>
    </row>
    <row r="110" customFormat="false" ht="15" hidden="false" customHeight="false" outlineLevel="0" collapsed="false">
      <c r="A110" s="70" t="s">
        <v>260</v>
      </c>
      <c r="B110" s="71" t="s">
        <v>266</v>
      </c>
      <c r="C110" s="70" t="s">
        <v>172</v>
      </c>
      <c r="D110" s="72" t="s">
        <v>178</v>
      </c>
      <c r="E110" s="73" t="n">
        <v>17</v>
      </c>
      <c r="F110" s="73" t="n">
        <v>15</v>
      </c>
      <c r="G110" s="73" t="n">
        <v>19</v>
      </c>
      <c r="H110" s="73" t="n">
        <v>24</v>
      </c>
      <c r="I110" s="73" t="s">
        <v>253</v>
      </c>
      <c r="J110" s="70"/>
      <c r="K110" s="73" t="n">
        <v>3</v>
      </c>
      <c r="L110" s="70"/>
      <c r="M110" s="70"/>
    </row>
    <row r="111" customFormat="false" ht="15" hidden="false" customHeight="false" outlineLevel="0" collapsed="false">
      <c r="A111" s="70" t="s">
        <v>260</v>
      </c>
      <c r="B111" s="71" t="s">
        <v>266</v>
      </c>
      <c r="C111" s="70" t="s">
        <v>175</v>
      </c>
      <c r="D111" s="72"/>
      <c r="E111" s="73"/>
      <c r="F111" s="73"/>
      <c r="G111" s="73"/>
      <c r="H111" s="73"/>
      <c r="I111" s="73"/>
      <c r="J111" s="70"/>
      <c r="K111" s="70"/>
      <c r="L111" s="70"/>
      <c r="M111" s="70"/>
    </row>
    <row r="112" customFormat="false" ht="15" hidden="false" customHeight="false" outlineLevel="0" collapsed="false">
      <c r="A112" s="70" t="s">
        <v>260</v>
      </c>
      <c r="B112" s="71" t="s">
        <v>267</v>
      </c>
      <c r="C112" s="70" t="s">
        <v>172</v>
      </c>
      <c r="D112" s="72" t="s">
        <v>178</v>
      </c>
      <c r="E112" s="73" t="n">
        <v>15</v>
      </c>
      <c r="F112" s="73" t="n">
        <v>18</v>
      </c>
      <c r="G112" s="73" t="n">
        <v>27</v>
      </c>
      <c r="H112" s="73" t="n">
        <v>31</v>
      </c>
      <c r="I112" s="73" t="s">
        <v>253</v>
      </c>
      <c r="J112" s="70"/>
      <c r="K112" s="73" t="s">
        <v>174</v>
      </c>
      <c r="L112" s="70"/>
      <c r="M112" s="70"/>
    </row>
    <row r="113" customFormat="false" ht="15" hidden="false" customHeight="false" outlineLevel="0" collapsed="false">
      <c r="A113" s="70" t="s">
        <v>260</v>
      </c>
      <c r="B113" s="71" t="s">
        <v>267</v>
      </c>
      <c r="C113" s="70" t="s">
        <v>175</v>
      </c>
      <c r="D113" s="72"/>
      <c r="E113" s="73"/>
      <c r="F113" s="73"/>
      <c r="G113" s="73"/>
      <c r="H113" s="73" t="n">
        <v>53</v>
      </c>
      <c r="I113" s="73"/>
      <c r="J113" s="70" t="n">
        <v>59</v>
      </c>
      <c r="K113" s="70"/>
      <c r="L113" s="70"/>
      <c r="M113" s="70"/>
    </row>
    <row r="114" customFormat="false" ht="15" hidden="false" customHeight="false" outlineLevel="0" collapsed="false">
      <c r="A114" s="70" t="s">
        <v>260</v>
      </c>
      <c r="B114" s="71" t="s">
        <v>268</v>
      </c>
      <c r="C114" s="70" t="s">
        <v>172</v>
      </c>
      <c r="D114" s="72" t="s">
        <v>178</v>
      </c>
      <c r="E114" s="73"/>
      <c r="F114" s="73"/>
      <c r="G114" s="73"/>
      <c r="H114" s="73" t="n">
        <v>53</v>
      </c>
      <c r="I114" s="73" t="s">
        <v>253</v>
      </c>
      <c r="J114" s="70" t="n">
        <v>59</v>
      </c>
      <c r="K114" s="70"/>
      <c r="L114" s="70"/>
      <c r="M114" s="70"/>
    </row>
    <row r="115" customFormat="false" ht="15" hidden="false" customHeight="false" outlineLevel="0" collapsed="false">
      <c r="A115" s="70" t="s">
        <v>260</v>
      </c>
      <c r="B115" s="71" t="s">
        <v>268</v>
      </c>
      <c r="C115" s="70" t="s">
        <v>175</v>
      </c>
      <c r="D115" s="72"/>
      <c r="E115" s="73"/>
      <c r="F115" s="73"/>
      <c r="G115" s="73"/>
      <c r="H115" s="73"/>
      <c r="I115" s="73"/>
      <c r="J115" s="70"/>
      <c r="K115" s="70"/>
      <c r="L115" s="70"/>
      <c r="M115" s="70"/>
    </row>
    <row r="116" customFormat="false" ht="15" hidden="false" customHeight="false" outlineLevel="0" collapsed="false">
      <c r="A116" s="70" t="s">
        <v>269</v>
      </c>
      <c r="B116" s="71" t="s">
        <v>270</v>
      </c>
      <c r="C116" s="70" t="s">
        <v>172</v>
      </c>
      <c r="D116" s="72" t="s">
        <v>196</v>
      </c>
      <c r="E116" s="73" t="n">
        <v>52000</v>
      </c>
      <c r="F116" s="73" t="n">
        <v>52000</v>
      </c>
      <c r="G116" s="73" t="n">
        <v>52000</v>
      </c>
      <c r="H116" s="73" t="n">
        <v>52000</v>
      </c>
      <c r="I116" s="73" t="s">
        <v>253</v>
      </c>
      <c r="J116" s="70"/>
      <c r="K116" s="70"/>
      <c r="L116" s="70"/>
      <c r="M116" s="70"/>
    </row>
    <row r="117" customFormat="false" ht="15" hidden="false" customHeight="false" outlineLevel="0" collapsed="false">
      <c r="A117" s="70" t="s">
        <v>269</v>
      </c>
      <c r="B117" s="71" t="s">
        <v>270</v>
      </c>
      <c r="C117" s="70" t="s">
        <v>175</v>
      </c>
      <c r="D117" s="72"/>
      <c r="E117" s="73"/>
      <c r="F117" s="73"/>
      <c r="G117" s="73"/>
      <c r="H117" s="73"/>
      <c r="I117" s="73"/>
      <c r="J117" s="70"/>
      <c r="K117" s="70"/>
      <c r="L117" s="70"/>
      <c r="M117" s="70"/>
    </row>
    <row r="118" customFormat="false" ht="15" hidden="false" customHeight="false" outlineLevel="0" collapsed="false">
      <c r="A118" s="70" t="s">
        <v>269</v>
      </c>
      <c r="B118" s="71" t="s">
        <v>271</v>
      </c>
      <c r="C118" s="70" t="s">
        <v>172</v>
      </c>
      <c r="D118" s="72" t="s">
        <v>178</v>
      </c>
      <c r="E118" s="73" t="n">
        <v>60</v>
      </c>
      <c r="F118" s="73" t="n">
        <v>60</v>
      </c>
      <c r="G118" s="73" t="n">
        <v>70</v>
      </c>
      <c r="H118" s="73" t="n">
        <v>150</v>
      </c>
      <c r="I118" s="73" t="s">
        <v>253</v>
      </c>
      <c r="J118" s="70"/>
      <c r="K118" s="70"/>
      <c r="L118" s="70"/>
      <c r="M118" s="70"/>
    </row>
    <row r="119" customFormat="false" ht="15" hidden="false" customHeight="false" outlineLevel="0" collapsed="false">
      <c r="A119" s="70" t="s">
        <v>269</v>
      </c>
      <c r="B119" s="71" t="s">
        <v>271</v>
      </c>
      <c r="C119" s="70" t="s">
        <v>175</v>
      </c>
      <c r="D119" s="72"/>
      <c r="E119" s="73"/>
      <c r="F119" s="73"/>
      <c r="G119" s="73"/>
      <c r="H119" s="73"/>
      <c r="I119" s="73"/>
      <c r="J119" s="70"/>
      <c r="K119" s="70"/>
      <c r="L119" s="70"/>
      <c r="M119" s="70"/>
    </row>
    <row r="120" customFormat="false" ht="15" hidden="false" customHeight="false" outlineLevel="0" collapsed="false">
      <c r="A120" s="70" t="s">
        <v>272</v>
      </c>
      <c r="B120" s="71" t="s">
        <v>273</v>
      </c>
      <c r="C120" s="70" t="s">
        <v>172</v>
      </c>
      <c r="D120" s="72" t="s">
        <v>196</v>
      </c>
      <c r="E120" s="73" t="n">
        <v>57000</v>
      </c>
      <c r="F120" s="73" t="n">
        <v>57000</v>
      </c>
      <c r="G120" s="73" t="n">
        <v>57000</v>
      </c>
      <c r="H120" s="73" t="n">
        <v>57000</v>
      </c>
      <c r="I120" s="73" t="s">
        <v>241</v>
      </c>
      <c r="J120" s="70"/>
      <c r="K120" s="70"/>
      <c r="L120" s="70"/>
      <c r="M120" s="70"/>
    </row>
    <row r="121" customFormat="false" ht="15" hidden="false" customHeight="false" outlineLevel="0" collapsed="false">
      <c r="A121" s="70" t="s">
        <v>272</v>
      </c>
      <c r="B121" s="71" t="s">
        <v>273</v>
      </c>
      <c r="C121" s="70" t="s">
        <v>175</v>
      </c>
      <c r="D121" s="72"/>
      <c r="E121" s="73"/>
      <c r="F121" s="73"/>
      <c r="G121" s="73"/>
      <c r="H121" s="73"/>
      <c r="I121" s="73"/>
      <c r="J121" s="70"/>
      <c r="K121" s="70"/>
      <c r="L121" s="70"/>
      <c r="M121" s="70"/>
    </row>
    <row r="122" customFormat="false" ht="15" hidden="false" customHeight="false" outlineLevel="0" collapsed="false">
      <c r="A122" s="70" t="s">
        <v>274</v>
      </c>
      <c r="B122" s="71" t="s">
        <v>275</v>
      </c>
      <c r="C122" s="70" t="s">
        <v>172</v>
      </c>
      <c r="D122" s="72" t="s">
        <v>196</v>
      </c>
      <c r="E122" s="73" t="n">
        <v>480000</v>
      </c>
      <c r="F122" s="73" t="n">
        <v>480000</v>
      </c>
      <c r="G122" s="73" t="n">
        <v>480000</v>
      </c>
      <c r="H122" s="73" t="n">
        <v>470000</v>
      </c>
      <c r="I122" s="73" t="n">
        <v>65000</v>
      </c>
      <c r="J122" s="70"/>
      <c r="K122" s="73" t="s">
        <v>174</v>
      </c>
      <c r="L122" s="70"/>
      <c r="M122" s="70"/>
    </row>
    <row r="123" customFormat="false" ht="15" hidden="false" customHeight="false" outlineLevel="0" collapsed="false">
      <c r="A123" s="70" t="s">
        <v>274</v>
      </c>
      <c r="B123" s="71" t="s">
        <v>275</v>
      </c>
      <c r="C123" s="70" t="s">
        <v>175</v>
      </c>
      <c r="D123" s="72"/>
      <c r="E123" s="73"/>
      <c r="F123" s="73"/>
      <c r="G123" s="73"/>
      <c r="H123" s="73"/>
      <c r="I123" s="73"/>
      <c r="J123" s="70"/>
      <c r="K123" s="70"/>
      <c r="L123" s="70"/>
      <c r="M123" s="70"/>
    </row>
    <row r="124" customFormat="false" ht="15" hidden="false" customHeight="false" outlineLevel="0" collapsed="false">
      <c r="A124" s="70" t="s">
        <v>274</v>
      </c>
      <c r="B124" s="71" t="s">
        <v>276</v>
      </c>
      <c r="C124" s="70" t="s">
        <v>172</v>
      </c>
      <c r="D124" s="72" t="s">
        <v>178</v>
      </c>
      <c r="E124" s="73" t="n">
        <v>43</v>
      </c>
      <c r="F124" s="73" t="n">
        <v>43</v>
      </c>
      <c r="G124" s="73" t="n">
        <v>53.5</v>
      </c>
      <c r="H124" s="73" t="n">
        <v>63.5</v>
      </c>
      <c r="I124" s="73" t="s">
        <v>253</v>
      </c>
      <c r="J124" s="70"/>
      <c r="K124" s="73" t="n">
        <v>22000</v>
      </c>
      <c r="L124" s="73" t="n">
        <v>60000</v>
      </c>
      <c r="M124" s="73" t="n">
        <v>60000</v>
      </c>
    </row>
    <row r="125" customFormat="false" ht="15" hidden="false" customHeight="false" outlineLevel="0" collapsed="false">
      <c r="A125" s="70" t="s">
        <v>274</v>
      </c>
      <c r="B125" s="71" t="s">
        <v>276</v>
      </c>
      <c r="C125" s="70" t="s">
        <v>175</v>
      </c>
      <c r="D125" s="72"/>
      <c r="E125" s="73"/>
      <c r="F125" s="73"/>
      <c r="G125" s="73"/>
      <c r="H125" s="73"/>
      <c r="I125" s="73"/>
      <c r="J125" s="70"/>
      <c r="K125" s="70"/>
      <c r="L125" s="70"/>
      <c r="M125" s="70"/>
    </row>
    <row r="126" customFormat="false" ht="15" hidden="false" customHeight="false" outlineLevel="0" collapsed="false">
      <c r="A126" s="70" t="s">
        <v>274</v>
      </c>
      <c r="B126" s="71" t="s">
        <v>277</v>
      </c>
      <c r="C126" s="70" t="s">
        <v>172</v>
      </c>
      <c r="D126" s="72" t="s">
        <v>196</v>
      </c>
      <c r="E126" s="73" t="n">
        <v>230000</v>
      </c>
      <c r="F126" s="73" t="n">
        <v>230000</v>
      </c>
      <c r="G126" s="73" t="n">
        <v>230000</v>
      </c>
      <c r="H126" s="73" t="n">
        <v>245000</v>
      </c>
      <c r="I126" s="73" t="s">
        <v>253</v>
      </c>
      <c r="J126" s="70"/>
      <c r="K126" s="70"/>
      <c r="L126" s="70"/>
      <c r="M126" s="70"/>
    </row>
    <row r="127" customFormat="false" ht="15" hidden="false" customHeight="false" outlineLevel="0" collapsed="false">
      <c r="A127" s="70" t="s">
        <v>274</v>
      </c>
      <c r="B127" s="71" t="s">
        <v>277</v>
      </c>
      <c r="C127" s="70" t="s">
        <v>175</v>
      </c>
      <c r="D127" s="72"/>
      <c r="E127" s="73"/>
      <c r="F127" s="73"/>
      <c r="G127" s="73"/>
      <c r="H127" s="73"/>
      <c r="I127" s="73"/>
      <c r="J127" s="70"/>
      <c r="K127" s="70"/>
      <c r="L127" s="70"/>
      <c r="M127" s="70"/>
    </row>
    <row r="128" customFormat="false" ht="15" hidden="false" customHeight="false" outlineLevel="0" collapsed="false">
      <c r="A128" s="70" t="s">
        <v>274</v>
      </c>
      <c r="B128" s="71" t="s">
        <v>278</v>
      </c>
      <c r="C128" s="70" t="s">
        <v>172</v>
      </c>
      <c r="D128" s="72" t="s">
        <v>178</v>
      </c>
      <c r="E128" s="73" t="n">
        <v>25</v>
      </c>
      <c r="F128" s="73" t="n">
        <v>37</v>
      </c>
      <c r="G128" s="73" t="n">
        <v>37</v>
      </c>
      <c r="H128" s="73" t="n">
        <v>65</v>
      </c>
      <c r="I128" s="73" t="s">
        <v>253</v>
      </c>
      <c r="J128" s="70"/>
      <c r="K128" s="70"/>
      <c r="L128" s="70"/>
      <c r="M128" s="70"/>
    </row>
    <row r="129" customFormat="false" ht="15" hidden="false" customHeight="false" outlineLevel="0" collapsed="false">
      <c r="A129" s="70" t="s">
        <v>274</v>
      </c>
      <c r="B129" s="71" t="s">
        <v>278</v>
      </c>
      <c r="C129" s="70" t="s">
        <v>175</v>
      </c>
      <c r="D129" s="72"/>
      <c r="E129" s="73"/>
      <c r="F129" s="73"/>
      <c r="G129" s="73"/>
      <c r="H129" s="73"/>
      <c r="I129" s="73"/>
      <c r="J129" s="70"/>
      <c r="K129" s="70"/>
      <c r="L129" s="70"/>
      <c r="M129" s="70"/>
    </row>
    <row r="130" customFormat="false" ht="15" hidden="false" customHeight="false" outlineLevel="0" collapsed="false">
      <c r="A130" s="70" t="s">
        <v>274</v>
      </c>
      <c r="B130" s="71" t="s">
        <v>279</v>
      </c>
      <c r="C130" s="70" t="s">
        <v>172</v>
      </c>
      <c r="D130" s="72" t="s">
        <v>178</v>
      </c>
      <c r="E130" s="73" t="n">
        <v>177</v>
      </c>
      <c r="F130" s="73" t="n">
        <v>190</v>
      </c>
      <c r="G130" s="73" t="n">
        <v>191</v>
      </c>
      <c r="H130" s="73" t="n">
        <v>212</v>
      </c>
      <c r="I130" s="73" t="s">
        <v>253</v>
      </c>
      <c r="J130" s="70"/>
      <c r="K130" s="70"/>
      <c r="L130" s="70"/>
      <c r="M130" s="70"/>
    </row>
    <row r="131" customFormat="false" ht="15" hidden="false" customHeight="false" outlineLevel="0" collapsed="false">
      <c r="A131" s="70" t="s">
        <v>274</v>
      </c>
      <c r="B131" s="71" t="s">
        <v>279</v>
      </c>
      <c r="C131" s="70" t="s">
        <v>175</v>
      </c>
      <c r="D131" s="72"/>
      <c r="E131" s="73"/>
      <c r="F131" s="73"/>
      <c r="G131" s="73"/>
      <c r="H131" s="73"/>
      <c r="I131" s="73"/>
      <c r="J131" s="70"/>
      <c r="K131" s="70"/>
      <c r="L131" s="70"/>
      <c r="M131" s="70"/>
    </row>
    <row r="132" customFormat="false" ht="15" hidden="false" customHeight="false" outlineLevel="0" collapsed="false">
      <c r="A132" s="70" t="s">
        <v>274</v>
      </c>
      <c r="B132" s="71" t="s">
        <v>280</v>
      </c>
      <c r="C132" s="70" t="s">
        <v>172</v>
      </c>
      <c r="D132" s="72" t="s">
        <v>178</v>
      </c>
      <c r="E132" s="73" t="n">
        <v>63</v>
      </c>
      <c r="F132" s="73" t="n">
        <v>63</v>
      </c>
      <c r="G132" s="73" t="n">
        <v>63</v>
      </c>
      <c r="H132" s="73"/>
      <c r="I132" s="73"/>
      <c r="J132" s="70"/>
      <c r="K132" s="70" t="n">
        <v>7</v>
      </c>
      <c r="L132" s="70"/>
      <c r="M132" s="70"/>
    </row>
    <row r="133" customFormat="false" ht="15" hidden="false" customHeight="false" outlineLevel="0" collapsed="false">
      <c r="A133" s="70" t="s">
        <v>274</v>
      </c>
      <c r="B133" s="71" t="s">
        <v>280</v>
      </c>
      <c r="C133" s="70" t="s">
        <v>175</v>
      </c>
      <c r="D133" s="72"/>
      <c r="E133" s="73"/>
      <c r="F133" s="73"/>
      <c r="G133" s="73"/>
      <c r="H133" s="73"/>
      <c r="I133" s="73"/>
      <c r="J133" s="70"/>
      <c r="K133" s="70"/>
      <c r="L133" s="70"/>
      <c r="M133" s="70"/>
    </row>
    <row r="134" customFormat="false" ht="15" hidden="false" customHeight="false" outlineLevel="0" collapsed="false">
      <c r="A134" s="70" t="s">
        <v>281</v>
      </c>
      <c r="B134" s="71" t="s">
        <v>282</v>
      </c>
      <c r="C134" s="70" t="s">
        <v>172</v>
      </c>
      <c r="D134" s="72" t="s">
        <v>178</v>
      </c>
      <c r="E134" s="73" t="n">
        <v>82</v>
      </c>
      <c r="F134" s="73" t="n">
        <v>87</v>
      </c>
      <c r="G134" s="73" t="n">
        <v>95</v>
      </c>
      <c r="H134" s="73" t="n">
        <v>116</v>
      </c>
      <c r="I134" s="73" t="s">
        <v>253</v>
      </c>
      <c r="J134" s="73" t="n">
        <v>120</v>
      </c>
      <c r="K134" s="73" t="n">
        <v>8</v>
      </c>
      <c r="L134" s="70"/>
      <c r="M134" s="70"/>
    </row>
    <row r="135" customFormat="false" ht="15" hidden="false" customHeight="false" outlineLevel="0" collapsed="false">
      <c r="A135" s="70" t="s">
        <v>281</v>
      </c>
      <c r="B135" s="71" t="s">
        <v>282</v>
      </c>
      <c r="C135" s="70" t="s">
        <v>175</v>
      </c>
      <c r="D135" s="72"/>
      <c r="E135" s="73"/>
      <c r="F135" s="73"/>
      <c r="G135" s="73"/>
      <c r="H135" s="73"/>
      <c r="I135" s="73"/>
      <c r="J135" s="70"/>
      <c r="K135" s="70"/>
      <c r="L135" s="70"/>
      <c r="M135" s="70"/>
    </row>
    <row r="136" customFormat="false" ht="15" hidden="false" customHeight="false" outlineLevel="0" collapsed="false">
      <c r="A136" s="70" t="s">
        <v>281</v>
      </c>
      <c r="B136" s="71" t="s">
        <v>283</v>
      </c>
      <c r="C136" s="70" t="s">
        <v>172</v>
      </c>
      <c r="D136" s="72" t="s">
        <v>178</v>
      </c>
      <c r="E136" s="73" t="n">
        <v>58</v>
      </c>
      <c r="F136" s="73" t="n">
        <v>62</v>
      </c>
      <c r="G136" s="73" t="n">
        <v>62</v>
      </c>
      <c r="H136" s="73"/>
      <c r="I136" s="73" t="s">
        <v>241</v>
      </c>
      <c r="J136" s="70"/>
      <c r="K136" s="70"/>
      <c r="L136" s="70"/>
      <c r="M136" s="70"/>
    </row>
    <row r="137" customFormat="false" ht="15" hidden="false" customHeight="false" outlineLevel="0" collapsed="false">
      <c r="A137" s="70" t="s">
        <v>281</v>
      </c>
      <c r="B137" s="71" t="s">
        <v>283</v>
      </c>
      <c r="C137" s="70" t="s">
        <v>175</v>
      </c>
      <c r="D137" s="72" t="s">
        <v>178</v>
      </c>
      <c r="E137" s="73" t="n">
        <v>58</v>
      </c>
      <c r="F137" s="73" t="n">
        <v>62</v>
      </c>
      <c r="G137" s="73" t="n">
        <v>62</v>
      </c>
      <c r="H137" s="73"/>
      <c r="I137" s="73" t="s">
        <v>241</v>
      </c>
      <c r="J137" s="70"/>
      <c r="K137" s="70"/>
      <c r="L137" s="70"/>
      <c r="M137" s="70"/>
    </row>
    <row r="138" customFormat="false" ht="15" hidden="false" customHeight="false" outlineLevel="0" collapsed="false">
      <c r="A138" s="70" t="s">
        <v>281</v>
      </c>
      <c r="B138" s="71" t="s">
        <v>284</v>
      </c>
      <c r="C138" s="70" t="s">
        <v>172</v>
      </c>
      <c r="D138" s="72" t="s">
        <v>178</v>
      </c>
      <c r="E138" s="73" t="n">
        <v>44</v>
      </c>
      <c r="F138" s="73" t="n">
        <v>44</v>
      </c>
      <c r="G138" s="73" t="n">
        <v>44</v>
      </c>
      <c r="H138" s="73" t="n">
        <v>53</v>
      </c>
      <c r="I138" s="73" t="s">
        <v>253</v>
      </c>
      <c r="J138" s="70"/>
      <c r="K138" s="73" t="n">
        <v>3</v>
      </c>
      <c r="L138" s="70"/>
      <c r="M138" s="70"/>
    </row>
    <row r="139" customFormat="false" ht="15" hidden="false" customHeight="false" outlineLevel="0" collapsed="false">
      <c r="A139" s="70" t="s">
        <v>281</v>
      </c>
      <c r="B139" s="71" t="s">
        <v>284</v>
      </c>
      <c r="C139" s="70" t="s">
        <v>175</v>
      </c>
      <c r="D139" s="72"/>
      <c r="E139" s="73"/>
      <c r="F139" s="73"/>
      <c r="G139" s="73"/>
      <c r="H139" s="73"/>
      <c r="I139" s="73"/>
      <c r="J139" s="70"/>
      <c r="K139" s="70"/>
      <c r="L139" s="70"/>
      <c r="M139" s="70"/>
    </row>
    <row r="140" customFormat="false" ht="15" hidden="false" customHeight="false" outlineLevel="0" collapsed="false">
      <c r="A140" s="70" t="s">
        <v>281</v>
      </c>
      <c r="B140" s="71" t="s">
        <v>285</v>
      </c>
      <c r="C140" s="70" t="s">
        <v>172</v>
      </c>
      <c r="D140" s="72" t="s">
        <v>178</v>
      </c>
      <c r="E140" s="73" t="n">
        <v>49</v>
      </c>
      <c r="F140" s="73" t="n">
        <v>62</v>
      </c>
      <c r="G140" s="73" t="n">
        <v>62</v>
      </c>
      <c r="H140" s="73" t="n">
        <v>62</v>
      </c>
      <c r="I140" s="73" t="s">
        <v>253</v>
      </c>
      <c r="J140" s="70"/>
      <c r="K140" s="73" t="n">
        <v>6</v>
      </c>
      <c r="L140" s="70"/>
      <c r="M140" s="70"/>
    </row>
    <row r="141" customFormat="false" ht="15" hidden="false" customHeight="false" outlineLevel="0" collapsed="false">
      <c r="A141" s="70" t="s">
        <v>281</v>
      </c>
      <c r="B141" s="71" t="s">
        <v>285</v>
      </c>
      <c r="C141" s="70" t="s">
        <v>175</v>
      </c>
      <c r="D141" s="72"/>
      <c r="E141" s="73"/>
      <c r="F141" s="73"/>
      <c r="G141" s="73"/>
      <c r="H141" s="73"/>
      <c r="I141" s="73"/>
      <c r="J141" s="70"/>
      <c r="K141" s="70"/>
      <c r="L141" s="70"/>
      <c r="M141" s="70"/>
    </row>
    <row r="142" customFormat="false" ht="15" hidden="false" customHeight="false" outlineLevel="0" collapsed="false">
      <c r="A142" s="70" t="s">
        <v>281</v>
      </c>
      <c r="B142" s="71" t="s">
        <v>286</v>
      </c>
      <c r="C142" s="70" t="s">
        <v>172</v>
      </c>
      <c r="D142" s="72" t="s">
        <v>178</v>
      </c>
      <c r="E142" s="73"/>
      <c r="F142" s="73"/>
      <c r="G142" s="73"/>
      <c r="H142" s="73"/>
      <c r="I142" s="73"/>
      <c r="J142" s="70" t="n">
        <v>225</v>
      </c>
      <c r="K142" s="70" t="n">
        <v>8</v>
      </c>
      <c r="L142" s="70"/>
      <c r="M142" s="70"/>
    </row>
    <row r="143" customFormat="false" ht="15" hidden="false" customHeight="false" outlineLevel="0" collapsed="false">
      <c r="A143" s="70" t="s">
        <v>281</v>
      </c>
      <c r="B143" s="71" t="s">
        <v>286</v>
      </c>
      <c r="C143" s="70" t="s">
        <v>175</v>
      </c>
      <c r="D143" s="72"/>
      <c r="E143" s="73"/>
      <c r="F143" s="73"/>
      <c r="G143" s="73"/>
      <c r="H143" s="73"/>
      <c r="I143" s="73"/>
      <c r="J143" s="70"/>
      <c r="K143" s="70"/>
      <c r="L143" s="70"/>
      <c r="M143" s="70"/>
    </row>
    <row r="144" customFormat="false" ht="15" hidden="false" customHeight="false" outlineLevel="0" collapsed="false">
      <c r="A144" s="70" t="s">
        <v>281</v>
      </c>
      <c r="B144" s="71" t="s">
        <v>287</v>
      </c>
      <c r="C144" s="70" t="s">
        <v>172</v>
      </c>
      <c r="D144" s="72" t="s">
        <v>178</v>
      </c>
      <c r="E144" s="73" t="n">
        <v>65</v>
      </c>
      <c r="F144" s="73" t="n">
        <v>135</v>
      </c>
      <c r="G144" s="73" t="n">
        <v>135</v>
      </c>
      <c r="H144" s="73" t="n">
        <v>108</v>
      </c>
      <c r="I144" s="73" t="s">
        <v>253</v>
      </c>
      <c r="J144" s="73" t="n">
        <v>190</v>
      </c>
      <c r="K144" s="73" t="n">
        <v>4</v>
      </c>
      <c r="L144" s="70"/>
      <c r="M144" s="70"/>
    </row>
    <row r="145" customFormat="false" ht="15" hidden="false" customHeight="false" outlineLevel="0" collapsed="false">
      <c r="A145" s="70" t="s">
        <v>281</v>
      </c>
      <c r="B145" s="71" t="s">
        <v>287</v>
      </c>
      <c r="C145" s="70" t="s">
        <v>175</v>
      </c>
      <c r="D145" s="72"/>
      <c r="E145" s="73"/>
      <c r="F145" s="73"/>
      <c r="G145" s="73"/>
      <c r="H145" s="73"/>
      <c r="I145" s="73"/>
      <c r="J145" s="70"/>
      <c r="K145" s="70"/>
      <c r="L145" s="70"/>
      <c r="M145" s="70"/>
    </row>
    <row r="146" customFormat="false" ht="15" hidden="false" customHeight="false" outlineLevel="0" collapsed="false">
      <c r="A146" s="70" t="s">
        <v>281</v>
      </c>
      <c r="B146" s="71" t="s">
        <v>288</v>
      </c>
      <c r="C146" s="70" t="s">
        <v>172</v>
      </c>
      <c r="D146" s="72" t="s">
        <v>178</v>
      </c>
      <c r="E146" s="73" t="n">
        <v>32</v>
      </c>
      <c r="F146" s="73" t="n">
        <v>63</v>
      </c>
      <c r="G146" s="73" t="n">
        <v>63</v>
      </c>
      <c r="H146" s="73"/>
      <c r="I146" s="73"/>
      <c r="J146" s="70"/>
      <c r="K146" s="70"/>
      <c r="L146" s="70"/>
      <c r="M146" s="70"/>
    </row>
    <row r="147" customFormat="false" ht="15" hidden="false" customHeight="false" outlineLevel="0" collapsed="false">
      <c r="A147" s="70" t="s">
        <v>281</v>
      </c>
      <c r="B147" s="71" t="s">
        <v>288</v>
      </c>
      <c r="C147" s="70" t="s">
        <v>175</v>
      </c>
      <c r="D147" s="72"/>
      <c r="E147" s="73"/>
      <c r="F147" s="73"/>
      <c r="G147" s="73"/>
      <c r="H147" s="73"/>
      <c r="I147" s="73"/>
      <c r="J147" s="70"/>
      <c r="K147" s="70"/>
      <c r="L147" s="70"/>
      <c r="M147" s="70"/>
    </row>
    <row r="148" customFormat="false" ht="15" hidden="false" customHeight="false" outlineLevel="0" collapsed="false">
      <c r="A148" s="70" t="s">
        <v>281</v>
      </c>
      <c r="B148" s="71" t="s">
        <v>289</v>
      </c>
      <c r="C148" s="70" t="s">
        <v>172</v>
      </c>
      <c r="D148" s="72" t="s">
        <v>178</v>
      </c>
      <c r="E148" s="73"/>
      <c r="F148" s="73" t="n">
        <v>83</v>
      </c>
      <c r="G148" s="73" t="n">
        <v>75</v>
      </c>
      <c r="H148" s="73"/>
      <c r="I148" s="73"/>
      <c r="J148" s="70"/>
      <c r="K148" s="70"/>
      <c r="L148" s="70"/>
      <c r="M148" s="70"/>
    </row>
    <row r="149" customFormat="false" ht="15" hidden="false" customHeight="false" outlineLevel="0" collapsed="false">
      <c r="A149" s="70" t="s">
        <v>281</v>
      </c>
      <c r="B149" s="71" t="s">
        <v>289</v>
      </c>
      <c r="C149" s="70" t="s">
        <v>175</v>
      </c>
      <c r="D149" s="72"/>
      <c r="E149" s="73"/>
      <c r="F149" s="73"/>
      <c r="G149" s="73"/>
      <c r="H149" s="73"/>
      <c r="I149" s="73"/>
      <c r="J149" s="70"/>
      <c r="K149" s="70"/>
      <c r="L149" s="70"/>
      <c r="M149" s="70"/>
    </row>
    <row r="150" customFormat="false" ht="15" hidden="false" customHeight="false" outlineLevel="0" collapsed="false">
      <c r="A150" s="70" t="s">
        <v>281</v>
      </c>
      <c r="B150" s="71" t="s">
        <v>290</v>
      </c>
      <c r="C150" s="70" t="s">
        <v>172</v>
      </c>
      <c r="D150" s="72" t="s">
        <v>178</v>
      </c>
      <c r="E150" s="73"/>
      <c r="F150" s="73"/>
      <c r="G150" s="73"/>
      <c r="H150" s="73" t="n">
        <v>65</v>
      </c>
      <c r="I150" s="73" t="s">
        <v>241</v>
      </c>
      <c r="J150" s="70"/>
      <c r="K150" s="73" t="s">
        <v>174</v>
      </c>
      <c r="L150" s="70"/>
      <c r="M150" s="70"/>
    </row>
    <row r="151" customFormat="false" ht="15" hidden="false" customHeight="false" outlineLevel="0" collapsed="false">
      <c r="A151" s="70" t="s">
        <v>281</v>
      </c>
      <c r="B151" s="71" t="s">
        <v>290</v>
      </c>
      <c r="C151" s="70" t="s">
        <v>175</v>
      </c>
      <c r="D151" s="72"/>
      <c r="E151" s="73"/>
      <c r="F151" s="73"/>
      <c r="G151" s="73"/>
      <c r="H151" s="73"/>
      <c r="I151" s="73"/>
      <c r="J151" s="70"/>
      <c r="K151" s="70"/>
      <c r="L151" s="70"/>
      <c r="M151" s="70"/>
    </row>
    <row r="152" customFormat="false" ht="15" hidden="false" customHeight="false" outlineLevel="0" collapsed="false">
      <c r="A152" s="70" t="s">
        <v>281</v>
      </c>
      <c r="B152" s="71" t="s">
        <v>291</v>
      </c>
      <c r="C152" s="70" t="s">
        <v>172</v>
      </c>
      <c r="D152" s="72" t="s">
        <v>173</v>
      </c>
      <c r="E152" s="73" t="n">
        <v>60</v>
      </c>
      <c r="F152" s="73" t="n">
        <v>60</v>
      </c>
      <c r="G152" s="73" t="n">
        <v>60</v>
      </c>
      <c r="H152" s="73" t="n">
        <v>65</v>
      </c>
      <c r="I152" s="73"/>
      <c r="J152" s="70"/>
      <c r="K152" s="70"/>
      <c r="L152" s="70"/>
      <c r="M152" s="70"/>
    </row>
    <row r="153" customFormat="false" ht="15" hidden="false" customHeight="false" outlineLevel="0" collapsed="false">
      <c r="A153" s="70" t="s">
        <v>281</v>
      </c>
      <c r="B153" s="71" t="s">
        <v>291</v>
      </c>
      <c r="C153" s="70" t="s">
        <v>175</v>
      </c>
      <c r="D153" s="72"/>
      <c r="E153" s="73"/>
      <c r="F153" s="73"/>
      <c r="G153" s="73"/>
      <c r="H153" s="73"/>
      <c r="I153" s="73"/>
      <c r="J153" s="70"/>
      <c r="K153" s="70"/>
      <c r="L153" s="70"/>
      <c r="M153" s="70"/>
    </row>
    <row r="154" customFormat="false" ht="15" hidden="false" customHeight="false" outlineLevel="0" collapsed="false">
      <c r="A154" s="70" t="s">
        <v>281</v>
      </c>
      <c r="B154" s="71" t="s">
        <v>292</v>
      </c>
      <c r="C154" s="70" t="s">
        <v>172</v>
      </c>
      <c r="D154" s="72" t="s">
        <v>196</v>
      </c>
      <c r="E154" s="73" t="n">
        <v>450000</v>
      </c>
      <c r="F154" s="73" t="n">
        <v>450000</v>
      </c>
      <c r="G154" s="73" t="n">
        <v>565000</v>
      </c>
      <c r="H154" s="73" t="n">
        <v>750000</v>
      </c>
      <c r="I154" s="73" t="s">
        <v>253</v>
      </c>
      <c r="J154" s="70"/>
      <c r="K154" s="73" t="s">
        <v>174</v>
      </c>
      <c r="L154" s="70"/>
      <c r="M154" s="70"/>
    </row>
    <row r="155" customFormat="false" ht="15" hidden="false" customHeight="false" outlineLevel="0" collapsed="false">
      <c r="A155" s="70" t="s">
        <v>281</v>
      </c>
      <c r="B155" s="71" t="s">
        <v>292</v>
      </c>
      <c r="C155" s="70" t="s">
        <v>175</v>
      </c>
      <c r="D155" s="72"/>
      <c r="E155" s="73"/>
      <c r="F155" s="73"/>
      <c r="G155" s="73"/>
      <c r="H155" s="73"/>
      <c r="I155" s="73"/>
      <c r="J155" s="70"/>
      <c r="K155" s="70"/>
      <c r="L155" s="70"/>
      <c r="M155" s="70"/>
    </row>
    <row r="156" customFormat="false" ht="15" hidden="false" customHeight="false" outlineLevel="0" collapsed="false">
      <c r="A156" s="70" t="s">
        <v>293</v>
      </c>
      <c r="B156" s="71" t="s">
        <v>294</v>
      </c>
      <c r="C156" s="70" t="s">
        <v>172</v>
      </c>
      <c r="D156" s="72" t="s">
        <v>178</v>
      </c>
      <c r="E156" s="73"/>
      <c r="F156" s="73"/>
      <c r="G156" s="73"/>
      <c r="H156" s="73" t="n">
        <v>32</v>
      </c>
      <c r="I156" s="73"/>
      <c r="J156" s="70"/>
      <c r="K156" s="70"/>
      <c r="L156" s="70"/>
      <c r="M156" s="70"/>
    </row>
    <row r="157" customFormat="false" ht="15" hidden="false" customHeight="false" outlineLevel="0" collapsed="false">
      <c r="A157" s="70" t="s">
        <v>293</v>
      </c>
      <c r="B157" s="71" t="s">
        <v>294</v>
      </c>
      <c r="C157" s="70" t="s">
        <v>175</v>
      </c>
      <c r="D157" s="72"/>
      <c r="E157" s="73"/>
      <c r="F157" s="73"/>
      <c r="G157" s="73"/>
      <c r="H157" s="73"/>
      <c r="I157" s="73"/>
      <c r="J157" s="70"/>
      <c r="K157" s="70"/>
      <c r="L157" s="70"/>
      <c r="M157" s="70"/>
    </row>
    <row r="158" customFormat="false" ht="15" hidden="false" customHeight="false" outlineLevel="0" collapsed="false">
      <c r="A158" s="70" t="s">
        <v>293</v>
      </c>
      <c r="B158" s="71" t="s">
        <v>295</v>
      </c>
      <c r="C158" s="70" t="s">
        <v>172</v>
      </c>
      <c r="D158" s="72" t="s">
        <v>178</v>
      </c>
      <c r="E158" s="73" t="n">
        <v>28</v>
      </c>
      <c r="F158" s="73" t="n">
        <v>28</v>
      </c>
      <c r="G158" s="73" t="n">
        <v>28</v>
      </c>
      <c r="H158" s="73" t="n">
        <v>40</v>
      </c>
      <c r="I158" s="73" t="s">
        <v>253</v>
      </c>
      <c r="J158" s="73" t="n">
        <v>40</v>
      </c>
      <c r="K158" s="73" t="n">
        <v>4</v>
      </c>
      <c r="L158" s="70"/>
      <c r="M158" s="70"/>
    </row>
    <row r="159" customFormat="false" ht="15" hidden="false" customHeight="false" outlineLevel="0" collapsed="false">
      <c r="A159" s="70" t="s">
        <v>293</v>
      </c>
      <c r="B159" s="71" t="s">
        <v>295</v>
      </c>
      <c r="C159" s="70" t="s">
        <v>175</v>
      </c>
      <c r="D159" s="72"/>
      <c r="E159" s="73"/>
      <c r="F159" s="73"/>
      <c r="G159" s="73"/>
      <c r="H159" s="73"/>
      <c r="I159" s="73"/>
      <c r="J159" s="70"/>
      <c r="K159" s="70"/>
      <c r="L159" s="70"/>
      <c r="M159" s="70"/>
    </row>
    <row r="160" customFormat="false" ht="15" hidden="false" customHeight="false" outlineLevel="0" collapsed="false">
      <c r="A160" s="70" t="s">
        <v>293</v>
      </c>
      <c r="B160" s="71" t="s">
        <v>296</v>
      </c>
      <c r="C160" s="70" t="s">
        <v>172</v>
      </c>
      <c r="D160" s="72" t="s">
        <v>178</v>
      </c>
      <c r="E160" s="73" t="n">
        <v>68</v>
      </c>
      <c r="F160" s="73" t="n">
        <v>75</v>
      </c>
      <c r="G160" s="73" t="n">
        <v>95</v>
      </c>
      <c r="H160" s="73" t="n">
        <v>99</v>
      </c>
      <c r="I160" s="73" t="s">
        <v>253</v>
      </c>
      <c r="J160" s="73" t="n">
        <v>110</v>
      </c>
      <c r="K160" s="73" t="n">
        <v>5</v>
      </c>
      <c r="L160" s="70"/>
      <c r="M160" s="70"/>
    </row>
    <row r="161" customFormat="false" ht="15" hidden="false" customHeight="false" outlineLevel="0" collapsed="false">
      <c r="A161" s="70" t="s">
        <v>293</v>
      </c>
      <c r="B161" s="71" t="s">
        <v>296</v>
      </c>
      <c r="C161" s="70" t="s">
        <v>175</v>
      </c>
      <c r="D161" s="72"/>
      <c r="E161" s="73"/>
      <c r="F161" s="73"/>
      <c r="G161" s="73"/>
      <c r="H161" s="73"/>
      <c r="I161" s="73"/>
      <c r="J161" s="70"/>
      <c r="K161" s="70"/>
      <c r="L161" s="70"/>
      <c r="M161" s="70"/>
    </row>
    <row r="162" customFormat="false" ht="15" hidden="false" customHeight="false" outlineLevel="0" collapsed="false">
      <c r="A162" s="70" t="s">
        <v>293</v>
      </c>
      <c r="B162" s="71" t="s">
        <v>297</v>
      </c>
      <c r="C162" s="70" t="s">
        <v>172</v>
      </c>
      <c r="D162" s="72" t="s">
        <v>178</v>
      </c>
      <c r="E162" s="73" t="n">
        <v>38</v>
      </c>
      <c r="F162" s="73" t="n">
        <v>38</v>
      </c>
      <c r="G162" s="73" t="n">
        <v>38</v>
      </c>
      <c r="H162" s="73" t="n">
        <v>70</v>
      </c>
      <c r="I162" s="73" t="s">
        <v>253</v>
      </c>
      <c r="J162" s="70"/>
      <c r="K162" s="73" t="n">
        <v>3</v>
      </c>
      <c r="L162" s="70"/>
      <c r="M162" s="70"/>
    </row>
    <row r="163" customFormat="false" ht="15" hidden="false" customHeight="false" outlineLevel="0" collapsed="false">
      <c r="A163" s="70" t="s">
        <v>293</v>
      </c>
      <c r="B163" s="71" t="s">
        <v>297</v>
      </c>
      <c r="C163" s="70" t="s">
        <v>175</v>
      </c>
      <c r="D163" s="72"/>
      <c r="E163" s="73"/>
      <c r="F163" s="73"/>
      <c r="G163" s="73"/>
      <c r="H163" s="73"/>
      <c r="I163" s="73"/>
      <c r="J163" s="70"/>
      <c r="K163" s="70"/>
      <c r="L163" s="70"/>
      <c r="M163" s="70"/>
    </row>
    <row r="164" customFormat="false" ht="15" hidden="false" customHeight="false" outlineLevel="0" collapsed="false">
      <c r="A164" s="70" t="s">
        <v>293</v>
      </c>
      <c r="B164" s="71" t="s">
        <v>298</v>
      </c>
      <c r="C164" s="70" t="s">
        <v>172</v>
      </c>
      <c r="D164" s="72" t="s">
        <v>178</v>
      </c>
      <c r="E164" s="73" t="n">
        <v>53</v>
      </c>
      <c r="F164" s="73" t="n">
        <v>53</v>
      </c>
      <c r="G164" s="73" t="n">
        <v>53</v>
      </c>
      <c r="H164" s="73" t="n">
        <v>59</v>
      </c>
      <c r="I164" s="73" t="n">
        <v>6</v>
      </c>
      <c r="J164" s="70"/>
      <c r="K164" s="73" t="n">
        <v>7</v>
      </c>
      <c r="L164" s="73" t="n">
        <v>14</v>
      </c>
      <c r="M164" s="73" t="n">
        <v>14</v>
      </c>
    </row>
    <row r="165" customFormat="false" ht="15" hidden="false" customHeight="false" outlineLevel="0" collapsed="false">
      <c r="A165" s="70" t="s">
        <v>293</v>
      </c>
      <c r="B165" s="71" t="s">
        <v>298</v>
      </c>
      <c r="C165" s="70" t="s">
        <v>175</v>
      </c>
      <c r="D165" s="72"/>
      <c r="E165" s="73"/>
      <c r="F165" s="73"/>
      <c r="G165" s="73"/>
      <c r="H165" s="73"/>
      <c r="I165" s="73"/>
      <c r="J165" s="70"/>
      <c r="K165" s="70"/>
      <c r="L165" s="70"/>
      <c r="M165" s="70"/>
    </row>
    <row r="166" customFormat="false" ht="15" hidden="false" customHeight="false" outlineLevel="0" collapsed="false">
      <c r="A166" s="70" t="s">
        <v>293</v>
      </c>
      <c r="B166" s="71" t="s">
        <v>299</v>
      </c>
      <c r="C166" s="70" t="s">
        <v>172</v>
      </c>
      <c r="D166" s="72" t="s">
        <v>173</v>
      </c>
      <c r="E166" s="73" t="n">
        <v>33</v>
      </c>
      <c r="F166" s="73" t="n">
        <v>33</v>
      </c>
      <c r="G166" s="73" t="n">
        <v>33</v>
      </c>
      <c r="H166" s="73" t="n">
        <v>63</v>
      </c>
      <c r="I166" s="73" t="n">
        <v>0</v>
      </c>
      <c r="J166" s="70"/>
      <c r="K166" s="73" t="n">
        <v>16</v>
      </c>
      <c r="L166" s="73" t="n">
        <v>16</v>
      </c>
      <c r="M166" s="73" t="n">
        <v>16</v>
      </c>
    </row>
    <row r="167" customFormat="false" ht="15" hidden="false" customHeight="false" outlineLevel="0" collapsed="false">
      <c r="A167" s="70" t="s">
        <v>293</v>
      </c>
      <c r="B167" s="71" t="s">
        <v>299</v>
      </c>
      <c r="C167" s="70" t="s">
        <v>175</v>
      </c>
      <c r="D167" s="72"/>
      <c r="E167" s="73"/>
      <c r="F167" s="73"/>
      <c r="G167" s="73"/>
      <c r="H167" s="73"/>
      <c r="I167" s="73"/>
      <c r="J167" s="70"/>
      <c r="K167" s="70"/>
      <c r="L167" s="70"/>
      <c r="M167" s="70"/>
    </row>
    <row r="168" customFormat="false" ht="15" hidden="false" customHeight="false" outlineLevel="0" collapsed="false">
      <c r="A168" s="70" t="s">
        <v>300</v>
      </c>
      <c r="B168" s="71" t="s">
        <v>301</v>
      </c>
      <c r="C168" s="70" t="s">
        <v>172</v>
      </c>
      <c r="D168" s="72" t="s">
        <v>178</v>
      </c>
      <c r="E168" s="73" t="n">
        <v>120</v>
      </c>
      <c r="F168" s="73" t="n">
        <v>120</v>
      </c>
      <c r="G168" s="73" t="n">
        <v>120</v>
      </c>
      <c r="H168" s="73" t="n">
        <v>200</v>
      </c>
      <c r="I168" s="73" t="n">
        <v>22</v>
      </c>
      <c r="J168" s="73" t="n">
        <v>320</v>
      </c>
      <c r="K168" s="73" t="n">
        <v>15</v>
      </c>
      <c r="L168" s="73" t="n">
        <v>24</v>
      </c>
      <c r="M168" s="73" t="n">
        <v>24</v>
      </c>
    </row>
    <row r="169" customFormat="false" ht="15" hidden="false" customHeight="false" outlineLevel="0" collapsed="false">
      <c r="A169" s="70" t="s">
        <v>300</v>
      </c>
      <c r="B169" s="71" t="s">
        <v>301</v>
      </c>
      <c r="C169" s="70" t="s">
        <v>175</v>
      </c>
      <c r="D169" s="72"/>
      <c r="E169" s="73"/>
      <c r="F169" s="73"/>
      <c r="G169" s="73"/>
      <c r="H169" s="73"/>
      <c r="I169" s="73"/>
      <c r="J169" s="70"/>
      <c r="K169" s="70"/>
      <c r="L169" s="70"/>
      <c r="M169" s="70"/>
    </row>
    <row r="170" customFormat="false" ht="15" hidden="false" customHeight="false" outlineLevel="0" collapsed="false">
      <c r="A170" s="70" t="s">
        <v>300</v>
      </c>
      <c r="B170" s="71" t="s">
        <v>302</v>
      </c>
      <c r="C170" s="70" t="s">
        <v>172</v>
      </c>
      <c r="D170" s="72" t="s">
        <v>196</v>
      </c>
      <c r="E170" s="73" t="n">
        <v>40000</v>
      </c>
      <c r="F170" s="73" t="n">
        <v>150000</v>
      </c>
      <c r="G170" s="73" t="n">
        <v>150000</v>
      </c>
      <c r="H170" s="73" t="n">
        <v>150000</v>
      </c>
      <c r="I170" s="73" t="s">
        <v>253</v>
      </c>
      <c r="J170" s="70"/>
      <c r="K170" s="73" t="s">
        <v>174</v>
      </c>
      <c r="L170" s="70"/>
      <c r="M170" s="70"/>
    </row>
    <row r="171" customFormat="false" ht="15" hidden="false" customHeight="false" outlineLevel="0" collapsed="false">
      <c r="A171" s="70" t="s">
        <v>300</v>
      </c>
      <c r="B171" s="71" t="s">
        <v>302</v>
      </c>
      <c r="C171" s="70" t="s">
        <v>175</v>
      </c>
      <c r="D171" s="72"/>
      <c r="E171" s="73"/>
      <c r="F171" s="73"/>
      <c r="G171" s="73"/>
      <c r="H171" s="73"/>
      <c r="I171" s="73"/>
      <c r="J171" s="70"/>
      <c r="K171" s="70"/>
      <c r="L171" s="70"/>
      <c r="M171" s="70"/>
    </row>
    <row r="172" customFormat="false" ht="15" hidden="false" customHeight="false" outlineLevel="0" collapsed="false">
      <c r="A172" s="70" t="s">
        <v>300</v>
      </c>
      <c r="B172" s="71" t="s">
        <v>303</v>
      </c>
      <c r="C172" s="70" t="s">
        <v>172</v>
      </c>
      <c r="D172" s="72" t="s">
        <v>196</v>
      </c>
      <c r="E172" s="73" t="n">
        <v>300000</v>
      </c>
      <c r="F172" s="73" t="n">
        <v>300000</v>
      </c>
      <c r="G172" s="73" t="n">
        <v>400000</v>
      </c>
      <c r="H172" s="73" t="n">
        <v>600000</v>
      </c>
      <c r="I172" s="73" t="s">
        <v>253</v>
      </c>
      <c r="J172" s="73" t="n">
        <v>600000</v>
      </c>
      <c r="K172" s="70"/>
      <c r="L172" s="70"/>
      <c r="M172" s="70"/>
    </row>
    <row r="173" customFormat="false" ht="15" hidden="false" customHeight="false" outlineLevel="0" collapsed="false">
      <c r="A173" s="70" t="s">
        <v>300</v>
      </c>
      <c r="B173" s="71" t="s">
        <v>303</v>
      </c>
      <c r="C173" s="70" t="s">
        <v>175</v>
      </c>
      <c r="D173" s="72"/>
      <c r="E173" s="73"/>
      <c r="F173" s="73"/>
      <c r="G173" s="73"/>
      <c r="H173" s="73"/>
      <c r="I173" s="73"/>
      <c r="J173" s="70"/>
      <c r="K173" s="70"/>
      <c r="L173" s="70"/>
      <c r="M173" s="70"/>
    </row>
    <row r="174" customFormat="false" ht="15" hidden="false" customHeight="false" outlineLevel="0" collapsed="false">
      <c r="A174" s="70" t="s">
        <v>304</v>
      </c>
      <c r="B174" s="71" t="s">
        <v>305</v>
      </c>
      <c r="C174" s="70" t="s">
        <v>172</v>
      </c>
      <c r="D174" s="72" t="s">
        <v>196</v>
      </c>
      <c r="E174" s="73" t="n">
        <v>140000</v>
      </c>
      <c r="F174" s="73" t="n">
        <v>140000</v>
      </c>
      <c r="G174" s="73" t="n">
        <v>140000</v>
      </c>
      <c r="H174" s="73" t="n">
        <v>140000</v>
      </c>
      <c r="I174" s="73" t="s">
        <v>253</v>
      </c>
      <c r="J174" s="70"/>
      <c r="K174" s="73" t="s">
        <v>174</v>
      </c>
      <c r="L174" s="70"/>
      <c r="M174" s="70"/>
    </row>
    <row r="175" customFormat="false" ht="15" hidden="false" customHeight="false" outlineLevel="0" collapsed="false">
      <c r="A175" s="70" t="s">
        <v>304</v>
      </c>
      <c r="B175" s="71" t="s">
        <v>305</v>
      </c>
      <c r="C175" s="70" t="s">
        <v>175</v>
      </c>
      <c r="D175" s="72"/>
      <c r="E175" s="73"/>
      <c r="F175" s="73"/>
      <c r="G175" s="73"/>
      <c r="H175" s="73"/>
      <c r="I175" s="73"/>
      <c r="J175" s="70"/>
      <c r="K175" s="70"/>
      <c r="L175" s="70"/>
      <c r="M175" s="70"/>
    </row>
    <row r="176" customFormat="false" ht="15" hidden="false" customHeight="false" outlineLevel="0" collapsed="false">
      <c r="A176" s="70" t="s">
        <v>304</v>
      </c>
      <c r="B176" s="71" t="s">
        <v>306</v>
      </c>
      <c r="C176" s="70" t="s">
        <v>172</v>
      </c>
      <c r="D176" s="72" t="s">
        <v>196</v>
      </c>
      <c r="E176" s="73" t="n">
        <v>120000</v>
      </c>
      <c r="F176" s="73" t="n">
        <v>120000</v>
      </c>
      <c r="G176" s="73" t="n">
        <v>120000</v>
      </c>
      <c r="H176" s="73" t="n">
        <v>120000</v>
      </c>
      <c r="I176" s="73" t="s">
        <v>253</v>
      </c>
      <c r="J176" s="70"/>
      <c r="K176" s="70"/>
      <c r="L176" s="70"/>
      <c r="M176" s="70"/>
    </row>
    <row r="177" customFormat="false" ht="15" hidden="false" customHeight="false" outlineLevel="0" collapsed="false">
      <c r="A177" s="70" t="s">
        <v>304</v>
      </c>
      <c r="B177" s="71" t="s">
        <v>306</v>
      </c>
      <c r="C177" s="70" t="s">
        <v>175</v>
      </c>
      <c r="D177" s="72"/>
      <c r="E177" s="73"/>
      <c r="F177" s="73"/>
      <c r="G177" s="73"/>
      <c r="H177" s="73"/>
      <c r="I177" s="73"/>
      <c r="J177" s="70"/>
      <c r="K177" s="70"/>
      <c r="L177" s="70"/>
      <c r="M177" s="70"/>
    </row>
    <row r="178" customFormat="false" ht="15" hidden="false" customHeight="false" outlineLevel="0" collapsed="false">
      <c r="A178" s="70" t="s">
        <v>304</v>
      </c>
      <c r="B178" s="71" t="s">
        <v>307</v>
      </c>
      <c r="C178" s="70" t="s">
        <v>172</v>
      </c>
      <c r="D178" s="72" t="s">
        <v>196</v>
      </c>
      <c r="E178" s="73" t="n">
        <v>400000</v>
      </c>
      <c r="F178" s="73" t="n">
        <v>400000</v>
      </c>
      <c r="G178" s="73" t="n">
        <v>400000</v>
      </c>
      <c r="H178" s="73" t="n">
        <v>900000</v>
      </c>
      <c r="I178" s="73" t="s">
        <v>253</v>
      </c>
      <c r="J178" s="70"/>
      <c r="K178" s="70"/>
      <c r="L178" s="70"/>
      <c r="M178" s="70"/>
    </row>
    <row r="179" customFormat="false" ht="15" hidden="false" customHeight="false" outlineLevel="0" collapsed="false">
      <c r="A179" s="70" t="s">
        <v>304</v>
      </c>
      <c r="B179" s="71" t="s">
        <v>307</v>
      </c>
      <c r="C179" s="70" t="s">
        <v>175</v>
      </c>
      <c r="D179" s="72"/>
      <c r="E179" s="73"/>
      <c r="F179" s="73"/>
      <c r="G179" s="73"/>
      <c r="H179" s="73"/>
      <c r="I179" s="73"/>
      <c r="J179" s="70"/>
      <c r="K179" s="70"/>
      <c r="L179" s="70"/>
      <c r="M179" s="70"/>
    </row>
    <row r="180" customFormat="false" ht="15" hidden="false" customHeight="false" outlineLevel="0" collapsed="false">
      <c r="A180" s="70" t="s">
        <v>308</v>
      </c>
      <c r="B180" s="71" t="s">
        <v>309</v>
      </c>
      <c r="C180" s="70" t="s">
        <v>172</v>
      </c>
      <c r="D180" s="72" t="s">
        <v>178</v>
      </c>
      <c r="E180" s="73" t="n">
        <v>70</v>
      </c>
      <c r="F180" s="73" t="n">
        <v>70</v>
      </c>
      <c r="G180" s="73" t="n">
        <v>70</v>
      </c>
      <c r="H180" s="73" t="n">
        <v>70</v>
      </c>
      <c r="I180" s="73" t="s">
        <v>253</v>
      </c>
      <c r="J180" s="73" t="n">
        <v>50</v>
      </c>
      <c r="K180" s="73" t="n">
        <v>6</v>
      </c>
      <c r="L180" s="70"/>
      <c r="M180" s="70"/>
    </row>
    <row r="181" customFormat="false" ht="15" hidden="false" customHeight="false" outlineLevel="0" collapsed="false">
      <c r="A181" s="70" t="s">
        <v>308</v>
      </c>
      <c r="B181" s="71" t="s">
        <v>309</v>
      </c>
      <c r="C181" s="70" t="s">
        <v>175</v>
      </c>
      <c r="D181" s="72"/>
      <c r="E181" s="73"/>
      <c r="F181" s="73"/>
      <c r="G181" s="73"/>
      <c r="H181" s="73"/>
      <c r="I181" s="73"/>
      <c r="J181" s="70"/>
      <c r="K181" s="70"/>
      <c r="L181" s="70"/>
      <c r="M181" s="70"/>
    </row>
    <row r="182" customFormat="false" ht="15" hidden="false" customHeight="false" outlineLevel="0" collapsed="false">
      <c r="A182" s="70" t="s">
        <v>308</v>
      </c>
      <c r="B182" s="71" t="s">
        <v>310</v>
      </c>
      <c r="C182" s="70" t="s">
        <v>172</v>
      </c>
      <c r="D182" s="72" t="s">
        <v>178</v>
      </c>
      <c r="E182" s="73" t="n">
        <v>529</v>
      </c>
      <c r="F182" s="73" t="n">
        <v>529</v>
      </c>
      <c r="G182" s="73" t="n">
        <v>529</v>
      </c>
      <c r="H182" s="73" t="n">
        <v>691</v>
      </c>
      <c r="I182" s="73" t="s">
        <v>253</v>
      </c>
      <c r="J182" s="73" t="n">
        <v>691</v>
      </c>
      <c r="K182" s="73" t="s">
        <v>174</v>
      </c>
      <c r="L182" s="73" t="s">
        <v>174</v>
      </c>
      <c r="M182" s="73" t="s">
        <v>174</v>
      </c>
    </row>
    <row r="183" customFormat="false" ht="15" hidden="false" customHeight="false" outlineLevel="0" collapsed="false">
      <c r="A183" s="70" t="s">
        <v>308</v>
      </c>
      <c r="B183" s="71" t="s">
        <v>310</v>
      </c>
      <c r="C183" s="70" t="s">
        <v>175</v>
      </c>
      <c r="D183" s="72"/>
      <c r="E183" s="73"/>
      <c r="F183" s="73"/>
      <c r="G183" s="73"/>
      <c r="H183" s="73"/>
      <c r="I183" s="73"/>
      <c r="J183" s="70"/>
      <c r="K183" s="70"/>
      <c r="L183" s="70"/>
      <c r="M183" s="70"/>
    </row>
    <row r="184" customFormat="false" ht="15" hidden="false" customHeight="false" outlineLevel="0" collapsed="false">
      <c r="A184" s="70" t="s">
        <v>308</v>
      </c>
      <c r="B184" s="71" t="s">
        <v>311</v>
      </c>
      <c r="C184" s="70" t="s">
        <v>172</v>
      </c>
      <c r="D184" s="72" t="s">
        <v>178</v>
      </c>
      <c r="E184" s="73" t="n">
        <v>43</v>
      </c>
      <c r="F184" s="73" t="n">
        <v>44</v>
      </c>
      <c r="G184" s="73" t="n">
        <v>44</v>
      </c>
      <c r="H184" s="73" t="n">
        <v>68</v>
      </c>
      <c r="I184" s="73" t="s">
        <v>253</v>
      </c>
      <c r="J184" s="70"/>
      <c r="K184" s="73" t="n">
        <v>6</v>
      </c>
      <c r="L184" s="70"/>
      <c r="M184" s="70"/>
    </row>
    <row r="185" customFormat="false" ht="15" hidden="false" customHeight="false" outlineLevel="0" collapsed="false">
      <c r="A185" s="70" t="s">
        <v>308</v>
      </c>
      <c r="B185" s="71" t="s">
        <v>311</v>
      </c>
      <c r="C185" s="70" t="s">
        <v>175</v>
      </c>
      <c r="D185" s="72"/>
      <c r="E185" s="73"/>
      <c r="F185" s="73"/>
      <c r="G185" s="73"/>
      <c r="H185" s="73"/>
      <c r="I185" s="73"/>
      <c r="J185" s="70"/>
      <c r="K185" s="70"/>
      <c r="L185" s="70"/>
      <c r="M185" s="70"/>
    </row>
    <row r="186" customFormat="false" ht="15" hidden="false" customHeight="false" outlineLevel="0" collapsed="false">
      <c r="A186" s="70" t="s">
        <v>308</v>
      </c>
      <c r="B186" s="71" t="s">
        <v>312</v>
      </c>
      <c r="C186" s="70" t="s">
        <v>172</v>
      </c>
      <c r="D186" s="72" t="s">
        <v>178</v>
      </c>
      <c r="E186" s="73"/>
      <c r="F186" s="73"/>
      <c r="G186" s="73"/>
      <c r="H186" s="73" t="n">
        <v>120</v>
      </c>
      <c r="I186" s="73" t="s">
        <v>241</v>
      </c>
      <c r="J186" s="70" t="n">
        <v>120</v>
      </c>
      <c r="K186" s="70"/>
      <c r="L186" s="70"/>
      <c r="M186" s="70"/>
    </row>
    <row r="187" customFormat="false" ht="15" hidden="false" customHeight="false" outlineLevel="0" collapsed="false">
      <c r="A187" s="70" t="s">
        <v>308</v>
      </c>
      <c r="B187" s="71" t="s">
        <v>312</v>
      </c>
      <c r="C187" s="70" t="s">
        <v>175</v>
      </c>
      <c r="D187" s="72"/>
      <c r="E187" s="73"/>
      <c r="F187" s="73"/>
      <c r="G187" s="73"/>
      <c r="H187" s="73"/>
      <c r="I187" s="73"/>
      <c r="J187" s="70"/>
      <c r="K187" s="70"/>
      <c r="L187" s="70"/>
      <c r="M187" s="70"/>
    </row>
    <row r="188" customFormat="false" ht="15" hidden="false" customHeight="false" outlineLevel="0" collapsed="false">
      <c r="A188" s="70" t="s">
        <v>308</v>
      </c>
      <c r="B188" s="71" t="s">
        <v>313</v>
      </c>
      <c r="C188" s="70" t="s">
        <v>172</v>
      </c>
      <c r="D188" s="72" t="s">
        <v>178</v>
      </c>
      <c r="E188" s="73"/>
      <c r="F188" s="73"/>
      <c r="G188" s="73"/>
      <c r="H188" s="73" t="n">
        <v>200</v>
      </c>
      <c r="I188" s="73" t="s">
        <v>241</v>
      </c>
      <c r="J188" s="70" t="n">
        <v>200</v>
      </c>
      <c r="K188" s="70"/>
      <c r="L188" s="70"/>
      <c r="M188" s="70"/>
    </row>
    <row r="189" customFormat="false" ht="15" hidden="false" customHeight="false" outlineLevel="0" collapsed="false">
      <c r="A189" s="70" t="s">
        <v>308</v>
      </c>
      <c r="B189" s="71" t="s">
        <v>313</v>
      </c>
      <c r="C189" s="70" t="s">
        <v>175</v>
      </c>
      <c r="D189" s="72"/>
      <c r="E189" s="73"/>
      <c r="F189" s="73"/>
      <c r="G189" s="73"/>
      <c r="H189" s="73"/>
      <c r="I189" s="73"/>
      <c r="J189" s="70"/>
      <c r="K189" s="70"/>
      <c r="L189" s="70"/>
      <c r="M189" s="70"/>
    </row>
    <row r="190" customFormat="false" ht="15" hidden="false" customHeight="false" outlineLevel="0" collapsed="false">
      <c r="A190" s="70" t="s">
        <v>308</v>
      </c>
      <c r="B190" s="71" t="s">
        <v>314</v>
      </c>
      <c r="C190" s="70" t="s">
        <v>172</v>
      </c>
      <c r="D190" s="72" t="s">
        <v>178</v>
      </c>
      <c r="E190" s="73" t="n">
        <v>70</v>
      </c>
      <c r="F190" s="73" t="n">
        <v>70</v>
      </c>
      <c r="G190" s="73" t="n">
        <v>80</v>
      </c>
      <c r="H190" s="73" t="n">
        <v>120</v>
      </c>
      <c r="I190" s="73" t="s">
        <v>253</v>
      </c>
      <c r="J190" s="73" t="n">
        <v>200</v>
      </c>
      <c r="K190" s="73" t="s">
        <v>174</v>
      </c>
      <c r="L190" s="70"/>
      <c r="M190" s="70"/>
    </row>
    <row r="191" customFormat="false" ht="15" hidden="false" customHeight="false" outlineLevel="0" collapsed="false">
      <c r="A191" s="70" t="s">
        <v>308</v>
      </c>
      <c r="B191" s="71" t="s">
        <v>314</v>
      </c>
      <c r="C191" s="70" t="s">
        <v>175</v>
      </c>
      <c r="D191" s="72"/>
      <c r="E191" s="73"/>
      <c r="F191" s="73"/>
      <c r="G191" s="73"/>
      <c r="H191" s="73"/>
      <c r="I191" s="73"/>
      <c r="J191" s="70"/>
      <c r="K191" s="70"/>
      <c r="L191" s="70"/>
      <c r="M191" s="70"/>
    </row>
    <row r="192" customFormat="false" ht="15" hidden="false" customHeight="false" outlineLevel="0" collapsed="false">
      <c r="A192" s="70" t="s">
        <v>315</v>
      </c>
      <c r="B192" s="71" t="s">
        <v>316</v>
      </c>
      <c r="C192" s="70" t="s">
        <v>172</v>
      </c>
      <c r="D192" s="72" t="s">
        <v>178</v>
      </c>
      <c r="E192" s="73" t="n">
        <v>60</v>
      </c>
      <c r="F192" s="73" t="n">
        <v>60</v>
      </c>
      <c r="G192" s="73" t="n">
        <v>60</v>
      </c>
      <c r="H192" s="73" t="n">
        <v>60</v>
      </c>
      <c r="I192" s="73" t="s">
        <v>253</v>
      </c>
      <c r="J192" s="70"/>
      <c r="K192" s="73" t="n">
        <v>22</v>
      </c>
      <c r="L192" s="73" t="n">
        <v>22</v>
      </c>
      <c r="M192" s="73" t="n">
        <v>22</v>
      </c>
    </row>
    <row r="193" customFormat="false" ht="15" hidden="false" customHeight="false" outlineLevel="0" collapsed="false">
      <c r="A193" s="70" t="s">
        <v>315</v>
      </c>
      <c r="B193" s="71" t="s">
        <v>316</v>
      </c>
      <c r="C193" s="70" t="s">
        <v>175</v>
      </c>
      <c r="D193" s="72"/>
      <c r="E193" s="73"/>
      <c r="F193" s="73"/>
      <c r="G193" s="73"/>
      <c r="H193" s="73"/>
      <c r="I193" s="73"/>
      <c r="J193" s="70"/>
      <c r="K193" s="70"/>
      <c r="L193" s="70"/>
      <c r="M193" s="70"/>
    </row>
    <row r="194" customFormat="false" ht="15" hidden="false" customHeight="false" outlineLevel="0" collapsed="false">
      <c r="A194" s="70" t="s">
        <v>317</v>
      </c>
      <c r="B194" s="71" t="s">
        <v>318</v>
      </c>
      <c r="C194" s="70" t="s">
        <v>172</v>
      </c>
      <c r="D194" s="72" t="s">
        <v>178</v>
      </c>
      <c r="E194" s="73" t="n">
        <v>39</v>
      </c>
      <c r="F194" s="73" t="n">
        <v>39</v>
      </c>
      <c r="G194" s="73" t="n">
        <v>39</v>
      </c>
      <c r="H194" s="73" t="n">
        <v>45</v>
      </c>
      <c r="I194" s="73" t="s">
        <v>253</v>
      </c>
      <c r="J194" s="70"/>
      <c r="K194" s="73" t="s">
        <v>174</v>
      </c>
      <c r="L194" s="70"/>
      <c r="M194" s="70"/>
    </row>
    <row r="195" customFormat="false" ht="15" hidden="false" customHeight="false" outlineLevel="0" collapsed="false">
      <c r="A195" s="70" t="s">
        <v>317</v>
      </c>
      <c r="B195" s="71" t="s">
        <v>318</v>
      </c>
      <c r="C195" s="70" t="s">
        <v>175</v>
      </c>
      <c r="D195" s="72"/>
      <c r="E195" s="73"/>
      <c r="F195" s="73"/>
      <c r="G195" s="73"/>
      <c r="H195" s="73"/>
      <c r="I195" s="73"/>
      <c r="J195" s="70"/>
      <c r="K195" s="70"/>
      <c r="L195" s="70"/>
      <c r="M195" s="70"/>
    </row>
    <row r="196" customFormat="false" ht="15" hidden="false" customHeight="false" outlineLevel="0" collapsed="false">
      <c r="A196" s="70" t="s">
        <v>319</v>
      </c>
      <c r="B196" s="71" t="s">
        <v>320</v>
      </c>
      <c r="C196" s="70" t="s">
        <v>321</v>
      </c>
      <c r="D196" s="72" t="s">
        <v>196</v>
      </c>
      <c r="E196" s="73" t="n">
        <v>175000</v>
      </c>
      <c r="F196" s="73" t="n">
        <v>20000</v>
      </c>
      <c r="G196" s="73" t="n">
        <v>250000</v>
      </c>
      <c r="H196" s="73"/>
      <c r="I196" s="73"/>
      <c r="J196" s="70"/>
      <c r="K196" s="70" t="n">
        <v>6</v>
      </c>
      <c r="L196" s="70" t="n">
        <v>12</v>
      </c>
      <c r="M196" s="70" t="n">
        <v>12</v>
      </c>
    </row>
    <row r="197" customFormat="false" ht="15" hidden="false" customHeight="false" outlineLevel="0" collapsed="false">
      <c r="A197" s="70" t="s">
        <v>319</v>
      </c>
      <c r="B197" s="71" t="s">
        <v>320</v>
      </c>
      <c r="C197" s="70" t="s">
        <v>175</v>
      </c>
      <c r="D197" s="72"/>
      <c r="E197" s="73"/>
      <c r="F197" s="73"/>
      <c r="G197" s="73"/>
      <c r="H197" s="73"/>
      <c r="I197" s="73"/>
      <c r="J197" s="70"/>
      <c r="K197" s="70"/>
      <c r="L197" s="70"/>
      <c r="M197" s="70"/>
    </row>
    <row r="198" customFormat="false" ht="15" hidden="false" customHeight="false" outlineLevel="0" collapsed="false">
      <c r="A198" s="70" t="s">
        <v>319</v>
      </c>
      <c r="B198" s="71" t="s">
        <v>322</v>
      </c>
      <c r="C198" s="70" t="s">
        <v>172</v>
      </c>
      <c r="D198" s="72" t="s">
        <v>196</v>
      </c>
      <c r="E198" s="73" t="n">
        <v>120000</v>
      </c>
      <c r="F198" s="73" t="n">
        <v>120000</v>
      </c>
      <c r="G198" s="73" t="n">
        <v>120000</v>
      </c>
      <c r="H198" s="73" t="n">
        <v>140000</v>
      </c>
      <c r="I198" s="73" t="s">
        <v>253</v>
      </c>
      <c r="J198" s="70"/>
      <c r="K198" s="70"/>
      <c r="L198" s="70"/>
      <c r="M198" s="70"/>
    </row>
    <row r="199" customFormat="false" ht="15" hidden="false" customHeight="false" outlineLevel="0" collapsed="false">
      <c r="A199" s="70" t="s">
        <v>319</v>
      </c>
      <c r="B199" s="71" t="s">
        <v>322</v>
      </c>
      <c r="C199" s="70" t="s">
        <v>175</v>
      </c>
      <c r="D199" s="72"/>
      <c r="E199" s="73"/>
      <c r="F199" s="73"/>
      <c r="G199" s="73"/>
      <c r="H199" s="73"/>
      <c r="I199" s="73"/>
      <c r="J199" s="70"/>
      <c r="K199" s="70"/>
      <c r="L199" s="70"/>
      <c r="M199" s="70"/>
    </row>
    <row r="200" customFormat="false" ht="15" hidden="false" customHeight="false" outlineLevel="0" collapsed="false">
      <c r="A200" s="70" t="s">
        <v>323</v>
      </c>
      <c r="B200" s="71" t="s">
        <v>324</v>
      </c>
      <c r="C200" s="70" t="s">
        <v>172</v>
      </c>
      <c r="D200" s="72" t="s">
        <v>196</v>
      </c>
      <c r="E200" s="73" t="n">
        <v>120000</v>
      </c>
      <c r="F200" s="73" t="n">
        <v>120000</v>
      </c>
      <c r="G200" s="73" t="n">
        <v>120000</v>
      </c>
      <c r="H200" s="73" t="n">
        <v>120000</v>
      </c>
      <c r="I200" s="73"/>
      <c r="J200" s="70"/>
      <c r="K200" s="73" t="s">
        <v>174</v>
      </c>
      <c r="L200" s="70"/>
      <c r="M200" s="70"/>
    </row>
    <row r="201" customFormat="false" ht="15" hidden="false" customHeight="false" outlineLevel="0" collapsed="false">
      <c r="A201" s="70" t="s">
        <v>323</v>
      </c>
      <c r="B201" s="71" t="s">
        <v>324</v>
      </c>
      <c r="C201" s="70" t="s">
        <v>175</v>
      </c>
      <c r="D201" s="72"/>
      <c r="E201" s="73"/>
      <c r="F201" s="73"/>
      <c r="G201" s="73"/>
      <c r="H201" s="73"/>
      <c r="I201" s="73"/>
      <c r="J201" s="70"/>
      <c r="K201" s="70"/>
      <c r="L201" s="70"/>
      <c r="M201" s="70"/>
    </row>
    <row r="202" customFormat="false" ht="15" hidden="false" customHeight="false" outlineLevel="0" collapsed="false">
      <c r="A202" s="70" t="s">
        <v>325</v>
      </c>
      <c r="B202" s="71" t="s">
        <v>326</v>
      </c>
      <c r="C202" s="70" t="s">
        <v>172</v>
      </c>
      <c r="D202" s="72" t="s">
        <v>173</v>
      </c>
      <c r="E202" s="73" t="n">
        <v>8</v>
      </c>
      <c r="F202" s="73" t="n">
        <v>8</v>
      </c>
      <c r="G202" s="73" t="n">
        <v>8</v>
      </c>
      <c r="H202" s="73" t="n">
        <v>10</v>
      </c>
      <c r="I202" s="73"/>
      <c r="J202" s="70"/>
      <c r="K202" s="70"/>
      <c r="L202" s="70"/>
      <c r="M202" s="70"/>
    </row>
    <row r="203" customFormat="false" ht="15" hidden="false" customHeight="false" outlineLevel="0" collapsed="false">
      <c r="A203" s="70" t="s">
        <v>325</v>
      </c>
      <c r="B203" s="71" t="s">
        <v>326</v>
      </c>
      <c r="C203" s="70" t="s">
        <v>175</v>
      </c>
      <c r="D203" s="72"/>
      <c r="E203" s="73"/>
      <c r="F203" s="73"/>
      <c r="G203" s="73"/>
      <c r="H203" s="73"/>
      <c r="I203" s="73"/>
      <c r="J203" s="70"/>
      <c r="K203" s="70"/>
      <c r="L203" s="70"/>
      <c r="M203" s="70"/>
    </row>
    <row r="204" customFormat="false" ht="15" hidden="false" customHeight="false" outlineLevel="0" collapsed="false">
      <c r="A204" s="70" t="s">
        <v>327</v>
      </c>
      <c r="B204" s="71" t="s">
        <v>328</v>
      </c>
      <c r="C204" s="70" t="s">
        <v>321</v>
      </c>
      <c r="D204" s="72" t="s">
        <v>178</v>
      </c>
      <c r="E204" s="73" t="n">
        <v>44</v>
      </c>
      <c r="F204" s="73" t="n">
        <v>44</v>
      </c>
      <c r="G204" s="73" t="n">
        <v>44</v>
      </c>
      <c r="H204" s="73" t="n">
        <v>44</v>
      </c>
      <c r="I204" s="73"/>
      <c r="J204" s="70"/>
      <c r="K204" s="70"/>
      <c r="L204" s="70"/>
      <c r="M204" s="70"/>
    </row>
    <row r="205" customFormat="false" ht="15" hidden="false" customHeight="false" outlineLevel="0" collapsed="false">
      <c r="A205" s="70" t="s">
        <v>327</v>
      </c>
      <c r="B205" s="71" t="s">
        <v>328</v>
      </c>
      <c r="C205" s="70" t="s">
        <v>175</v>
      </c>
      <c r="D205" s="72"/>
      <c r="E205" s="73"/>
      <c r="F205" s="73"/>
      <c r="G205" s="73"/>
      <c r="H205" s="73"/>
      <c r="I205" s="73"/>
      <c r="J205" s="70"/>
      <c r="K205" s="70"/>
      <c r="L205" s="70"/>
      <c r="M205" s="70"/>
    </row>
    <row r="206" customFormat="false" ht="15" hidden="false" customHeight="false" outlineLevel="0" collapsed="false">
      <c r="A206" s="70" t="s">
        <v>327</v>
      </c>
      <c r="B206" s="71" t="s">
        <v>329</v>
      </c>
      <c r="C206" s="70" t="s">
        <v>172</v>
      </c>
      <c r="D206" s="72" t="s">
        <v>196</v>
      </c>
      <c r="E206" s="73" t="n">
        <v>250000</v>
      </c>
      <c r="F206" s="73" t="n">
        <v>300000</v>
      </c>
      <c r="G206" s="73" t="n">
        <v>350000</v>
      </c>
      <c r="H206" s="73" t="n">
        <v>400000</v>
      </c>
      <c r="I206" s="73" t="s">
        <v>253</v>
      </c>
      <c r="J206" s="70"/>
      <c r="K206" s="70"/>
      <c r="L206" s="70"/>
      <c r="M206" s="70"/>
    </row>
    <row r="207" customFormat="false" ht="15" hidden="false" customHeight="false" outlineLevel="0" collapsed="false">
      <c r="A207" s="70" t="s">
        <v>327</v>
      </c>
      <c r="B207" s="71" t="s">
        <v>329</v>
      </c>
      <c r="C207" s="70" t="s">
        <v>175</v>
      </c>
      <c r="D207" s="72"/>
      <c r="E207" s="73"/>
      <c r="F207" s="73"/>
      <c r="G207" s="73"/>
      <c r="H207" s="73"/>
      <c r="I207" s="73"/>
      <c r="J207" s="70"/>
      <c r="K207" s="70"/>
      <c r="L207" s="70"/>
      <c r="M207" s="70"/>
    </row>
    <row r="208" customFormat="false" ht="15" hidden="false" customHeight="false" outlineLevel="0" collapsed="false">
      <c r="A208" s="70" t="s">
        <v>327</v>
      </c>
      <c r="B208" s="71" t="s">
        <v>330</v>
      </c>
      <c r="C208" s="70" t="s">
        <v>172</v>
      </c>
      <c r="D208" s="72" t="s">
        <v>196</v>
      </c>
      <c r="E208" s="73" t="n">
        <v>100000</v>
      </c>
      <c r="F208" s="73" t="n">
        <v>100000</v>
      </c>
      <c r="G208" s="73" t="n">
        <v>200000</v>
      </c>
      <c r="H208" s="73" t="n">
        <v>200000</v>
      </c>
      <c r="I208" s="73" t="s">
        <v>253</v>
      </c>
      <c r="J208" s="70"/>
      <c r="K208" s="70"/>
      <c r="L208" s="70"/>
      <c r="M208" s="70"/>
    </row>
    <row r="209" customFormat="false" ht="15" hidden="false" customHeight="false" outlineLevel="0" collapsed="false">
      <c r="A209" s="70" t="s">
        <v>327</v>
      </c>
      <c r="B209" s="71" t="s">
        <v>330</v>
      </c>
      <c r="C209" s="70" t="s">
        <v>175</v>
      </c>
      <c r="D209" s="72"/>
      <c r="E209" s="73"/>
      <c r="F209" s="73"/>
      <c r="G209" s="73"/>
      <c r="H209" s="73"/>
      <c r="I209" s="73"/>
      <c r="J209" s="70"/>
      <c r="K209" s="70"/>
      <c r="L209" s="70"/>
      <c r="M209" s="70"/>
    </row>
    <row r="210" customFormat="false" ht="15" hidden="false" customHeight="false" outlineLevel="0" collapsed="false">
      <c r="A210" s="70" t="s">
        <v>327</v>
      </c>
      <c r="B210" s="71" t="s">
        <v>331</v>
      </c>
      <c r="C210" s="70" t="s">
        <v>172</v>
      </c>
      <c r="D210" s="72" t="s">
        <v>196</v>
      </c>
      <c r="E210" s="73" t="n">
        <v>180000</v>
      </c>
      <c r="F210" s="73" t="n">
        <v>180000</v>
      </c>
      <c r="G210" s="73" t="n">
        <v>180000</v>
      </c>
      <c r="H210" s="73" t="n">
        <v>180000</v>
      </c>
      <c r="I210" s="73" t="s">
        <v>253</v>
      </c>
      <c r="J210" s="70"/>
      <c r="K210" s="70"/>
      <c r="L210" s="70"/>
      <c r="M210" s="70"/>
    </row>
    <row r="211" customFormat="false" ht="15" hidden="false" customHeight="false" outlineLevel="0" collapsed="false">
      <c r="A211" s="70" t="s">
        <v>327</v>
      </c>
      <c r="B211" s="71" t="s">
        <v>331</v>
      </c>
      <c r="C211" s="70" t="s">
        <v>175</v>
      </c>
      <c r="D211" s="72"/>
      <c r="E211" s="73"/>
      <c r="F211" s="73"/>
      <c r="G211" s="73"/>
      <c r="H211" s="73"/>
      <c r="I211" s="73"/>
      <c r="J211" s="70"/>
      <c r="K211" s="70"/>
      <c r="L211" s="70"/>
      <c r="M211" s="70"/>
    </row>
    <row r="212" customFormat="false" ht="15" hidden="false" customHeight="false" outlineLevel="0" collapsed="false">
      <c r="A212" s="70" t="s">
        <v>327</v>
      </c>
      <c r="B212" s="71" t="s">
        <v>332</v>
      </c>
      <c r="C212" s="70" t="s">
        <v>172</v>
      </c>
      <c r="D212" s="72" t="s">
        <v>196</v>
      </c>
      <c r="E212" s="73" t="n">
        <v>140000</v>
      </c>
      <c r="F212" s="73" t="n">
        <v>140000</v>
      </c>
      <c r="G212" s="73" t="n">
        <v>160000</v>
      </c>
      <c r="H212" s="73" t="n">
        <v>200000</v>
      </c>
      <c r="I212" s="73" t="s">
        <v>253</v>
      </c>
      <c r="J212" s="70"/>
      <c r="K212" s="70"/>
      <c r="L212" s="70"/>
      <c r="M212" s="70"/>
    </row>
    <row r="213" customFormat="false" ht="15" hidden="false" customHeight="false" outlineLevel="0" collapsed="false">
      <c r="A213" s="70" t="s">
        <v>327</v>
      </c>
      <c r="B213" s="71" t="s">
        <v>332</v>
      </c>
      <c r="C213" s="70" t="s">
        <v>175</v>
      </c>
      <c r="D213" s="72"/>
      <c r="E213" s="73"/>
      <c r="F213" s="73"/>
      <c r="G213" s="73"/>
      <c r="H213" s="73"/>
      <c r="I213" s="73"/>
      <c r="J213" s="70"/>
      <c r="K213" s="70"/>
      <c r="L213" s="70"/>
      <c r="M213" s="70"/>
    </row>
    <row r="214" customFormat="false" ht="15" hidden="false" customHeight="false" outlineLevel="0" collapsed="false">
      <c r="A214" s="70" t="s">
        <v>333</v>
      </c>
      <c r="B214" s="71" t="s">
        <v>334</v>
      </c>
      <c r="C214" s="70" t="s">
        <v>172</v>
      </c>
      <c r="D214" s="72" t="s">
        <v>196</v>
      </c>
      <c r="E214" s="73" t="n">
        <v>100000</v>
      </c>
      <c r="F214" s="73" t="n">
        <v>120000</v>
      </c>
      <c r="G214" s="73" t="n">
        <v>150000</v>
      </c>
      <c r="H214" s="73" t="n">
        <v>150000</v>
      </c>
      <c r="I214" s="73" t="s">
        <v>253</v>
      </c>
      <c r="J214" s="70"/>
      <c r="K214" s="73" t="s">
        <v>174</v>
      </c>
      <c r="L214" s="70"/>
      <c r="M214" s="70"/>
    </row>
    <row r="215" customFormat="false" ht="15" hidden="false" customHeight="false" outlineLevel="0" collapsed="false">
      <c r="A215" s="70" t="s">
        <v>333</v>
      </c>
      <c r="B215" s="71" t="s">
        <v>334</v>
      </c>
      <c r="C215" s="70" t="s">
        <v>175</v>
      </c>
      <c r="D215" s="72"/>
      <c r="E215" s="73"/>
      <c r="F215" s="73"/>
      <c r="G215" s="73"/>
      <c r="H215" s="73"/>
      <c r="I215" s="73"/>
      <c r="J215" s="70"/>
      <c r="K215" s="70"/>
      <c r="L215" s="70"/>
      <c r="M215" s="70"/>
    </row>
    <row r="216" customFormat="false" ht="15" hidden="false" customHeight="false" outlineLevel="0" collapsed="false">
      <c r="A216" s="70" t="s">
        <v>335</v>
      </c>
      <c r="B216" s="71" t="s">
        <v>336</v>
      </c>
      <c r="C216" s="70" t="s">
        <v>172</v>
      </c>
      <c r="D216" s="72" t="s">
        <v>178</v>
      </c>
      <c r="E216" s="73" t="n">
        <v>73</v>
      </c>
      <c r="F216" s="73" t="n">
        <v>73</v>
      </c>
      <c r="G216" s="73" t="n">
        <v>73</v>
      </c>
      <c r="H216" s="73"/>
      <c r="I216" s="73"/>
      <c r="J216" s="70"/>
      <c r="K216" s="70" t="n">
        <v>10</v>
      </c>
      <c r="L216" s="70"/>
      <c r="M216" s="70"/>
    </row>
    <row r="217" customFormat="false" ht="15" hidden="false" customHeight="false" outlineLevel="0" collapsed="false">
      <c r="A217" s="70" t="s">
        <v>335</v>
      </c>
      <c r="B217" s="71" t="s">
        <v>336</v>
      </c>
      <c r="C217" s="70" t="s">
        <v>175</v>
      </c>
      <c r="D217" s="72"/>
      <c r="E217" s="73"/>
      <c r="F217" s="73"/>
      <c r="G217" s="73"/>
      <c r="H217" s="73"/>
      <c r="I217" s="73"/>
      <c r="J217" s="70"/>
      <c r="K217" s="70"/>
      <c r="L217" s="70"/>
      <c r="M217" s="70"/>
    </row>
    <row r="218" customFormat="false" ht="15" hidden="false" customHeight="false" outlineLevel="0" collapsed="false">
      <c r="A218" s="70" t="s">
        <v>335</v>
      </c>
      <c r="B218" s="71" t="s">
        <v>337</v>
      </c>
      <c r="C218" s="70" t="s">
        <v>172</v>
      </c>
      <c r="D218" s="72" t="s">
        <v>178</v>
      </c>
      <c r="E218" s="73" t="n">
        <v>68</v>
      </c>
      <c r="F218" s="73" t="n">
        <v>69</v>
      </c>
      <c r="G218" s="73" t="n">
        <v>75</v>
      </c>
      <c r="H218" s="73" t="n">
        <v>95</v>
      </c>
      <c r="I218" s="73" t="s">
        <v>253</v>
      </c>
      <c r="J218" s="70"/>
      <c r="K218" s="73" t="n">
        <v>7</v>
      </c>
      <c r="L218" s="70"/>
      <c r="M218" s="70"/>
    </row>
    <row r="219" customFormat="false" ht="15" hidden="false" customHeight="false" outlineLevel="0" collapsed="false">
      <c r="A219" s="70" t="s">
        <v>335</v>
      </c>
      <c r="B219" s="71" t="s">
        <v>337</v>
      </c>
      <c r="C219" s="70" t="s">
        <v>175</v>
      </c>
      <c r="D219" s="72"/>
      <c r="E219" s="73"/>
      <c r="F219" s="73"/>
      <c r="G219" s="73"/>
      <c r="H219" s="73"/>
      <c r="I219" s="73"/>
      <c r="J219" s="70"/>
      <c r="K219" s="70"/>
      <c r="L219" s="70"/>
      <c r="M219" s="70"/>
    </row>
    <row r="220" customFormat="false" ht="15" hidden="false" customHeight="false" outlineLevel="0" collapsed="false">
      <c r="A220" s="70" t="s">
        <v>335</v>
      </c>
      <c r="B220" s="71" t="s">
        <v>338</v>
      </c>
      <c r="C220" s="70" t="s">
        <v>172</v>
      </c>
      <c r="D220" s="72" t="s">
        <v>178</v>
      </c>
      <c r="E220" s="73" t="n">
        <v>13</v>
      </c>
      <c r="F220" s="73" t="n">
        <v>14</v>
      </c>
      <c r="G220" s="73" t="n">
        <v>22</v>
      </c>
      <c r="H220" s="73" t="n">
        <v>35</v>
      </c>
      <c r="I220" s="73" t="s">
        <v>253</v>
      </c>
      <c r="J220" s="73" t="n">
        <v>40</v>
      </c>
      <c r="K220" s="73" t="n">
        <v>4</v>
      </c>
      <c r="L220" s="70"/>
      <c r="M220" s="70"/>
    </row>
    <row r="221" customFormat="false" ht="15" hidden="false" customHeight="false" outlineLevel="0" collapsed="false">
      <c r="A221" s="70" t="s">
        <v>335</v>
      </c>
      <c r="B221" s="71" t="s">
        <v>338</v>
      </c>
      <c r="C221" s="70" t="s">
        <v>175</v>
      </c>
      <c r="D221" s="72"/>
      <c r="E221" s="73"/>
      <c r="F221" s="73"/>
      <c r="G221" s="73"/>
      <c r="H221" s="73"/>
      <c r="I221" s="73"/>
      <c r="J221" s="70"/>
      <c r="K221" s="70"/>
      <c r="L221" s="70"/>
      <c r="M221" s="70"/>
    </row>
    <row r="222" customFormat="false" ht="15" hidden="false" customHeight="false" outlineLevel="0" collapsed="false">
      <c r="A222" s="70" t="s">
        <v>335</v>
      </c>
      <c r="B222" s="71" t="s">
        <v>339</v>
      </c>
      <c r="C222" s="70" t="s">
        <v>172</v>
      </c>
      <c r="D222" s="72" t="s">
        <v>178</v>
      </c>
      <c r="E222" s="73" t="n">
        <v>20</v>
      </c>
      <c r="F222" s="73" t="n">
        <v>23</v>
      </c>
      <c r="G222" s="73" t="n">
        <v>24</v>
      </c>
      <c r="H222" s="73" t="n">
        <v>36</v>
      </c>
      <c r="I222" s="73" t="s">
        <v>253</v>
      </c>
      <c r="J222" s="70"/>
      <c r="K222" s="73" t="n">
        <v>4</v>
      </c>
      <c r="L222" s="70"/>
      <c r="M222" s="70"/>
    </row>
    <row r="223" customFormat="false" ht="15" hidden="false" customHeight="false" outlineLevel="0" collapsed="false">
      <c r="A223" s="70" t="s">
        <v>335</v>
      </c>
      <c r="B223" s="71" t="s">
        <v>339</v>
      </c>
      <c r="C223" s="70" t="s">
        <v>175</v>
      </c>
      <c r="D223" s="72"/>
      <c r="E223" s="73"/>
      <c r="F223" s="73"/>
      <c r="G223" s="73"/>
      <c r="H223" s="73"/>
      <c r="I223" s="73"/>
      <c r="J223" s="70"/>
      <c r="K223" s="70"/>
      <c r="L223" s="70"/>
      <c r="M223" s="70"/>
    </row>
    <row r="224" customFormat="false" ht="15" hidden="false" customHeight="false" outlineLevel="0" collapsed="false">
      <c r="A224" s="70" t="s">
        <v>335</v>
      </c>
      <c r="B224" s="71" t="s">
        <v>340</v>
      </c>
      <c r="C224" s="70" t="s">
        <v>172</v>
      </c>
      <c r="D224" s="72" t="s">
        <v>178</v>
      </c>
      <c r="E224" s="73" t="n">
        <v>14</v>
      </c>
      <c r="F224" s="73" t="n">
        <v>14</v>
      </c>
      <c r="G224" s="73" t="n">
        <v>15</v>
      </c>
      <c r="H224" s="73" t="n">
        <v>26</v>
      </c>
      <c r="I224" s="73" t="s">
        <v>253</v>
      </c>
      <c r="J224" s="70"/>
      <c r="K224" s="73" t="n">
        <v>3</v>
      </c>
      <c r="L224" s="70"/>
      <c r="M224" s="70"/>
    </row>
    <row r="225" customFormat="false" ht="15" hidden="false" customHeight="false" outlineLevel="0" collapsed="false">
      <c r="A225" s="70" t="s">
        <v>335</v>
      </c>
      <c r="B225" s="71" t="s">
        <v>340</v>
      </c>
      <c r="C225" s="70" t="s">
        <v>175</v>
      </c>
      <c r="D225" s="72"/>
      <c r="E225" s="73"/>
      <c r="F225" s="73"/>
      <c r="G225" s="73"/>
      <c r="H225" s="73"/>
      <c r="I225" s="73"/>
      <c r="J225" s="70"/>
      <c r="K225" s="70"/>
      <c r="L225" s="70"/>
      <c r="M225" s="70"/>
    </row>
    <row r="226" customFormat="false" ht="15" hidden="false" customHeight="false" outlineLevel="0" collapsed="false">
      <c r="A226" s="70" t="s">
        <v>335</v>
      </c>
      <c r="B226" s="71" t="s">
        <v>341</v>
      </c>
      <c r="C226" s="70" t="s">
        <v>172</v>
      </c>
      <c r="D226" s="72" t="s">
        <v>178</v>
      </c>
      <c r="E226" s="73" t="n">
        <v>44</v>
      </c>
      <c r="F226" s="73" t="n">
        <v>44</v>
      </c>
      <c r="G226" s="73" t="n">
        <v>44</v>
      </c>
      <c r="H226" s="73" t="n">
        <v>78</v>
      </c>
      <c r="I226" s="73" t="s">
        <v>253</v>
      </c>
      <c r="J226" s="73" t="n">
        <v>77</v>
      </c>
      <c r="K226" s="73" t="n">
        <v>5</v>
      </c>
      <c r="L226" s="70"/>
      <c r="M226" s="70"/>
    </row>
    <row r="227" customFormat="false" ht="15" hidden="false" customHeight="false" outlineLevel="0" collapsed="false">
      <c r="A227" s="70" t="s">
        <v>335</v>
      </c>
      <c r="B227" s="71" t="s">
        <v>341</v>
      </c>
      <c r="C227" s="70" t="s">
        <v>175</v>
      </c>
      <c r="D227" s="72"/>
      <c r="E227" s="73"/>
      <c r="F227" s="73"/>
      <c r="G227" s="73"/>
      <c r="H227" s="73"/>
      <c r="I227" s="73"/>
      <c r="J227" s="70"/>
      <c r="K227" s="70"/>
      <c r="L227" s="70"/>
      <c r="M227" s="70"/>
    </row>
    <row r="228" customFormat="false" ht="15" hidden="false" customHeight="false" outlineLevel="0" collapsed="false">
      <c r="A228" s="70" t="s">
        <v>335</v>
      </c>
      <c r="B228" s="71" t="s">
        <v>342</v>
      </c>
      <c r="C228" s="70" t="s">
        <v>172</v>
      </c>
      <c r="D228" s="72" t="s">
        <v>178</v>
      </c>
      <c r="E228" s="73" t="n">
        <v>68</v>
      </c>
      <c r="F228" s="73" t="n">
        <v>68</v>
      </c>
      <c r="G228" s="73" t="n">
        <v>68</v>
      </c>
      <c r="H228" s="73" t="n">
        <v>97</v>
      </c>
      <c r="I228" s="73" t="s">
        <v>253</v>
      </c>
      <c r="J228" s="73" t="n">
        <v>108</v>
      </c>
      <c r="K228" s="73" t="n">
        <v>7</v>
      </c>
      <c r="L228" s="70"/>
      <c r="M228" s="70"/>
    </row>
    <row r="229" customFormat="false" ht="15" hidden="false" customHeight="false" outlineLevel="0" collapsed="false">
      <c r="A229" s="70" t="s">
        <v>335</v>
      </c>
      <c r="B229" s="71" t="s">
        <v>342</v>
      </c>
      <c r="C229" s="70" t="s">
        <v>175</v>
      </c>
      <c r="D229" s="72"/>
      <c r="E229" s="73"/>
      <c r="F229" s="73"/>
      <c r="G229" s="73"/>
      <c r="H229" s="73"/>
      <c r="I229" s="73"/>
      <c r="J229" s="70"/>
      <c r="K229" s="70"/>
      <c r="L229" s="70"/>
      <c r="M229" s="70"/>
    </row>
    <row r="230" customFormat="false" ht="15" hidden="false" customHeight="false" outlineLevel="0" collapsed="false">
      <c r="A230" s="70" t="s">
        <v>335</v>
      </c>
      <c r="B230" s="71" t="s">
        <v>343</v>
      </c>
      <c r="C230" s="70" t="s">
        <v>172</v>
      </c>
      <c r="D230" s="72" t="s">
        <v>178</v>
      </c>
      <c r="E230" s="73" t="n">
        <v>49</v>
      </c>
      <c r="F230" s="73" t="n">
        <v>49</v>
      </c>
      <c r="G230" s="73" t="n">
        <v>49</v>
      </c>
      <c r="H230" s="73" t="n">
        <v>59</v>
      </c>
      <c r="I230" s="73" t="s">
        <v>253</v>
      </c>
      <c r="J230" s="73" t="n">
        <v>65</v>
      </c>
      <c r="K230" s="73" t="n">
        <v>5</v>
      </c>
      <c r="L230" s="70"/>
      <c r="M230" s="70"/>
    </row>
    <row r="231" customFormat="false" ht="15" hidden="false" customHeight="false" outlineLevel="0" collapsed="false">
      <c r="A231" s="70" t="s">
        <v>335</v>
      </c>
      <c r="B231" s="71" t="s">
        <v>343</v>
      </c>
      <c r="C231" s="70" t="s">
        <v>175</v>
      </c>
      <c r="D231" s="72"/>
      <c r="E231" s="73"/>
      <c r="F231" s="73"/>
      <c r="G231" s="73"/>
      <c r="H231" s="73"/>
      <c r="I231" s="73"/>
      <c r="J231" s="70"/>
      <c r="K231" s="70"/>
      <c r="L231" s="70"/>
      <c r="M231" s="70"/>
    </row>
    <row r="232" customFormat="false" ht="15" hidden="false" customHeight="false" outlineLevel="0" collapsed="false">
      <c r="A232" s="70" t="s">
        <v>335</v>
      </c>
      <c r="B232" s="71" t="s">
        <v>344</v>
      </c>
      <c r="C232" s="70" t="s">
        <v>172</v>
      </c>
      <c r="D232" s="72" t="s">
        <v>178</v>
      </c>
      <c r="E232" s="73" t="n">
        <v>34</v>
      </c>
      <c r="F232" s="73" t="n">
        <v>34</v>
      </c>
      <c r="G232" s="73" t="n">
        <v>38</v>
      </c>
      <c r="H232" s="73" t="n">
        <v>38</v>
      </c>
      <c r="I232" s="73" t="s">
        <v>253</v>
      </c>
      <c r="J232" s="70"/>
      <c r="K232" s="70"/>
      <c r="L232" s="70"/>
      <c r="M232" s="70"/>
    </row>
    <row r="233" customFormat="false" ht="15" hidden="false" customHeight="false" outlineLevel="0" collapsed="false">
      <c r="A233" s="70" t="s">
        <v>335</v>
      </c>
      <c r="B233" s="71" t="s">
        <v>344</v>
      </c>
      <c r="C233" s="70" t="s">
        <v>175</v>
      </c>
      <c r="D233" s="72"/>
      <c r="E233" s="73"/>
      <c r="F233" s="73"/>
      <c r="G233" s="73"/>
      <c r="H233" s="73"/>
      <c r="I233" s="73"/>
      <c r="J233" s="70"/>
      <c r="K233" s="70"/>
      <c r="L233" s="70"/>
      <c r="M233" s="70"/>
    </row>
    <row r="234" customFormat="false" ht="15" hidden="false" customHeight="false" outlineLevel="0" collapsed="false">
      <c r="A234" s="70" t="s">
        <v>335</v>
      </c>
      <c r="B234" s="71" t="s">
        <v>345</v>
      </c>
      <c r="C234" s="70" t="s">
        <v>172</v>
      </c>
      <c r="D234" s="72" t="s">
        <v>178</v>
      </c>
      <c r="E234" s="73" t="n">
        <v>20</v>
      </c>
      <c r="F234" s="73" t="n">
        <v>20</v>
      </c>
      <c r="G234" s="73" t="n">
        <v>33</v>
      </c>
      <c r="H234" s="73" t="n">
        <v>33</v>
      </c>
      <c r="I234" s="73" t="s">
        <v>253</v>
      </c>
      <c r="J234" s="70"/>
      <c r="K234" s="70"/>
      <c r="L234" s="70"/>
      <c r="M234" s="70"/>
    </row>
    <row r="235" customFormat="false" ht="15" hidden="false" customHeight="false" outlineLevel="0" collapsed="false">
      <c r="A235" s="70" t="s">
        <v>335</v>
      </c>
      <c r="B235" s="71" t="s">
        <v>345</v>
      </c>
      <c r="C235" s="70" t="s">
        <v>175</v>
      </c>
      <c r="D235" s="72"/>
      <c r="E235" s="73"/>
      <c r="F235" s="73"/>
      <c r="G235" s="73"/>
      <c r="H235" s="73"/>
      <c r="I235" s="73"/>
      <c r="J235" s="70"/>
      <c r="K235" s="70"/>
      <c r="L235" s="70"/>
      <c r="M235" s="70"/>
    </row>
    <row r="236" customFormat="false" ht="15" hidden="false" customHeight="false" outlineLevel="0" collapsed="false">
      <c r="A236" s="70" t="s">
        <v>335</v>
      </c>
      <c r="B236" s="71" t="s">
        <v>346</v>
      </c>
      <c r="C236" s="70" t="s">
        <v>172</v>
      </c>
      <c r="D236" s="72" t="s">
        <v>173</v>
      </c>
      <c r="E236" s="73" t="n">
        <v>183</v>
      </c>
      <c r="F236" s="73" t="n">
        <v>183</v>
      </c>
      <c r="G236" s="73" t="n">
        <v>183</v>
      </c>
      <c r="H236" s="73" t="n">
        <v>191</v>
      </c>
      <c r="I236" s="73" t="s">
        <v>253</v>
      </c>
      <c r="J236" s="70"/>
      <c r="K236" s="73" t="s">
        <v>174</v>
      </c>
      <c r="L236" s="70"/>
      <c r="M236" s="70"/>
    </row>
    <row r="237" customFormat="false" ht="15" hidden="false" customHeight="false" outlineLevel="0" collapsed="false">
      <c r="A237" s="70" t="s">
        <v>335</v>
      </c>
      <c r="B237" s="71" t="s">
        <v>346</v>
      </c>
      <c r="C237" s="70" t="s">
        <v>175</v>
      </c>
      <c r="D237" s="72"/>
      <c r="E237" s="73"/>
      <c r="F237" s="73"/>
      <c r="G237" s="73"/>
      <c r="H237" s="73"/>
      <c r="I237" s="73"/>
      <c r="J237" s="70"/>
      <c r="K237" s="70"/>
      <c r="L237" s="70"/>
      <c r="M237" s="70"/>
    </row>
    <row r="238" customFormat="false" ht="15" hidden="false" customHeight="false" outlineLevel="0" collapsed="false">
      <c r="A238" s="70" t="s">
        <v>335</v>
      </c>
      <c r="B238" s="71" t="s">
        <v>347</v>
      </c>
      <c r="C238" s="70" t="s">
        <v>172</v>
      </c>
      <c r="D238" s="72" t="s">
        <v>196</v>
      </c>
      <c r="E238" s="73" t="n">
        <v>282000</v>
      </c>
      <c r="F238" s="73" t="n">
        <v>332000</v>
      </c>
      <c r="G238" s="73" t="n">
        <v>332000</v>
      </c>
      <c r="H238" s="73" t="n">
        <v>282000</v>
      </c>
      <c r="I238" s="73" t="n">
        <v>60000</v>
      </c>
      <c r="J238" s="70"/>
      <c r="K238" s="73" t="n">
        <v>32000</v>
      </c>
      <c r="L238" s="73" t="n">
        <v>60000</v>
      </c>
      <c r="M238" s="73" t="n">
        <v>60000</v>
      </c>
    </row>
    <row r="239" customFormat="false" ht="15" hidden="false" customHeight="false" outlineLevel="0" collapsed="false">
      <c r="A239" s="70" t="s">
        <v>335</v>
      </c>
      <c r="B239" s="71" t="s">
        <v>347</v>
      </c>
      <c r="C239" s="70" t="s">
        <v>175</v>
      </c>
      <c r="D239" s="72"/>
      <c r="E239" s="73"/>
      <c r="F239" s="73"/>
      <c r="G239" s="73"/>
      <c r="H239" s="73"/>
      <c r="I239" s="73"/>
      <c r="J239" s="70"/>
      <c r="K239" s="70"/>
      <c r="L239" s="70"/>
      <c r="M239" s="70"/>
    </row>
    <row r="240" customFormat="false" ht="15" hidden="false" customHeight="false" outlineLevel="0" collapsed="false">
      <c r="A240" s="70" t="s">
        <v>348</v>
      </c>
      <c r="B240" s="71" t="s">
        <v>349</v>
      </c>
      <c r="C240" s="70" t="s">
        <v>172</v>
      </c>
      <c r="D240" s="72" t="s">
        <v>178</v>
      </c>
      <c r="E240" s="73" t="n">
        <v>68</v>
      </c>
      <c r="F240" s="73" t="n">
        <v>68</v>
      </c>
      <c r="G240" s="73" t="n">
        <v>68</v>
      </c>
      <c r="H240" s="73" t="n">
        <v>97</v>
      </c>
      <c r="I240" s="73"/>
      <c r="J240" s="73" t="n">
        <v>108</v>
      </c>
      <c r="K240" s="73" t="n">
        <v>14</v>
      </c>
      <c r="L240" s="70"/>
      <c r="M240" s="70"/>
    </row>
    <row r="241" customFormat="false" ht="15" hidden="false" customHeight="false" outlineLevel="0" collapsed="false">
      <c r="A241" s="70" t="s">
        <v>348</v>
      </c>
      <c r="B241" s="71" t="s">
        <v>347</v>
      </c>
      <c r="C241" s="70" t="s">
        <v>175</v>
      </c>
      <c r="D241" s="72"/>
      <c r="E241" s="73"/>
      <c r="F241" s="73"/>
      <c r="G241" s="73"/>
      <c r="H241" s="73"/>
      <c r="I241" s="73"/>
      <c r="J241" s="70"/>
      <c r="K241" s="70"/>
      <c r="L241" s="70"/>
      <c r="M241" s="70"/>
    </row>
    <row r="242" customFormat="false" ht="15" hidden="false" customHeight="false" outlineLevel="0" collapsed="false">
      <c r="A242" s="70" t="s">
        <v>350</v>
      </c>
      <c r="B242" s="71" t="s">
        <v>351</v>
      </c>
      <c r="C242" s="70" t="s">
        <v>172</v>
      </c>
      <c r="D242" s="72" t="s">
        <v>196</v>
      </c>
      <c r="E242" s="73" t="n">
        <v>610000</v>
      </c>
      <c r="F242" s="73" t="n">
        <v>610000</v>
      </c>
      <c r="G242" s="73" t="n">
        <v>610000</v>
      </c>
      <c r="H242" s="73" t="n">
        <v>800000</v>
      </c>
      <c r="I242" s="73" t="n">
        <v>190000</v>
      </c>
      <c r="J242" s="73"/>
      <c r="K242" s="73" t="n">
        <v>125000</v>
      </c>
      <c r="L242" s="73" t="n">
        <v>170000</v>
      </c>
      <c r="M242" s="73" t="n">
        <v>170000</v>
      </c>
    </row>
    <row r="243" customFormat="false" ht="15" hidden="false" customHeight="false" outlineLevel="0" collapsed="false">
      <c r="A243" s="70" t="s">
        <v>350</v>
      </c>
      <c r="B243" s="71" t="s">
        <v>351</v>
      </c>
      <c r="C243" s="70" t="s">
        <v>175</v>
      </c>
      <c r="D243" s="72"/>
      <c r="E243" s="73"/>
      <c r="F243" s="73"/>
      <c r="G243" s="73"/>
      <c r="H243" s="73"/>
      <c r="I243" s="73"/>
      <c r="J243" s="70"/>
      <c r="K243" s="70"/>
      <c r="L243" s="70"/>
      <c r="M243" s="70"/>
    </row>
    <row r="244" customFormat="false" ht="15" hidden="false" customHeight="false" outlineLevel="0" collapsed="false">
      <c r="A244" s="70" t="s">
        <v>350</v>
      </c>
      <c r="B244" s="71" t="s">
        <v>352</v>
      </c>
      <c r="C244" s="70" t="s">
        <v>172</v>
      </c>
      <c r="D244" s="72" t="s">
        <v>178</v>
      </c>
      <c r="E244" s="73" t="n">
        <v>70</v>
      </c>
      <c r="F244" s="73" t="n">
        <v>80</v>
      </c>
      <c r="G244" s="73" t="n">
        <v>80</v>
      </c>
      <c r="H244" s="73" t="s">
        <v>353</v>
      </c>
      <c r="I244" s="73" t="s">
        <v>253</v>
      </c>
      <c r="J244" s="70"/>
      <c r="K244" s="70"/>
      <c r="L244" s="70"/>
      <c r="M244" s="70"/>
    </row>
    <row r="245" customFormat="false" ht="15" hidden="false" customHeight="false" outlineLevel="0" collapsed="false">
      <c r="A245" s="70" t="s">
        <v>350</v>
      </c>
      <c r="B245" s="71" t="s">
        <v>352</v>
      </c>
      <c r="C245" s="70" t="s">
        <v>175</v>
      </c>
      <c r="D245" s="72"/>
      <c r="E245" s="73"/>
      <c r="F245" s="73"/>
      <c r="G245" s="73"/>
      <c r="H245" s="73"/>
      <c r="I245" s="73"/>
      <c r="J245" s="70"/>
      <c r="K245" s="70"/>
      <c r="L245" s="70"/>
      <c r="M245" s="70"/>
    </row>
    <row r="246" customFormat="false" ht="15" hidden="false" customHeight="false" outlineLevel="0" collapsed="false">
      <c r="A246" s="70" t="s">
        <v>350</v>
      </c>
      <c r="B246" s="71" t="s">
        <v>354</v>
      </c>
      <c r="C246" s="70" t="s">
        <v>172</v>
      </c>
      <c r="D246" s="72" t="s">
        <v>196</v>
      </c>
      <c r="E246" s="73" t="n">
        <v>100000</v>
      </c>
      <c r="F246" s="73" t="n">
        <v>100000</v>
      </c>
      <c r="G246" s="73" t="n">
        <v>120000</v>
      </c>
      <c r="H246" s="73" t="n">
        <v>190000</v>
      </c>
      <c r="I246" s="73" t="s">
        <v>253</v>
      </c>
      <c r="J246" s="70"/>
      <c r="K246" s="70"/>
      <c r="L246" s="70"/>
      <c r="M246" s="70"/>
    </row>
    <row r="247" customFormat="false" ht="15" hidden="false" customHeight="false" outlineLevel="0" collapsed="false">
      <c r="A247" s="70" t="s">
        <v>350</v>
      </c>
      <c r="B247" s="71" t="s">
        <v>354</v>
      </c>
      <c r="C247" s="70" t="s">
        <v>175</v>
      </c>
      <c r="D247" s="72"/>
      <c r="E247" s="73"/>
      <c r="F247" s="73"/>
      <c r="G247" s="73"/>
      <c r="H247" s="73"/>
      <c r="I247" s="73"/>
      <c r="J247" s="70"/>
      <c r="K247" s="70"/>
      <c r="L247" s="70"/>
      <c r="M247" s="70"/>
    </row>
    <row r="248" customFormat="false" ht="15" hidden="false" customHeight="false" outlineLevel="0" collapsed="false">
      <c r="A248" s="70" t="s">
        <v>350</v>
      </c>
      <c r="B248" s="71" t="s">
        <v>355</v>
      </c>
      <c r="C248" s="70" t="s">
        <v>172</v>
      </c>
      <c r="D248" s="72" t="s">
        <v>178</v>
      </c>
      <c r="E248" s="73" t="n">
        <v>70</v>
      </c>
      <c r="F248" s="73" t="n">
        <v>80</v>
      </c>
      <c r="G248" s="73" t="n">
        <v>80</v>
      </c>
      <c r="H248" s="73" t="n">
        <v>150</v>
      </c>
      <c r="I248" s="73" t="s">
        <v>253</v>
      </c>
      <c r="J248" s="70"/>
      <c r="K248" s="70"/>
      <c r="L248" s="70"/>
      <c r="M248" s="70"/>
    </row>
    <row r="249" customFormat="false" ht="15" hidden="false" customHeight="false" outlineLevel="0" collapsed="false">
      <c r="A249" s="70" t="s">
        <v>350</v>
      </c>
      <c r="B249" s="71" t="s">
        <v>355</v>
      </c>
      <c r="C249" s="70" t="s">
        <v>175</v>
      </c>
      <c r="D249" s="72"/>
      <c r="E249" s="73"/>
      <c r="F249" s="73"/>
      <c r="G249" s="73"/>
      <c r="H249" s="73"/>
      <c r="I249" s="73"/>
      <c r="J249" s="70"/>
      <c r="K249" s="70"/>
      <c r="L249" s="70"/>
      <c r="M249" s="70"/>
    </row>
    <row r="250" customFormat="false" ht="15" hidden="false" customHeight="false" outlineLevel="0" collapsed="false">
      <c r="A250" s="70" t="s">
        <v>356</v>
      </c>
      <c r="B250" s="71" t="s">
        <v>357</v>
      </c>
      <c r="C250" s="70" t="s">
        <v>172</v>
      </c>
      <c r="D250" s="72" t="s">
        <v>178</v>
      </c>
      <c r="E250" s="73" t="n">
        <v>32</v>
      </c>
      <c r="F250" s="73" t="n">
        <v>37</v>
      </c>
      <c r="G250" s="73" t="n">
        <v>37</v>
      </c>
      <c r="H250" s="73" t="n">
        <v>49</v>
      </c>
      <c r="I250" s="73" t="n">
        <v>14</v>
      </c>
      <c r="J250" s="70"/>
      <c r="K250" s="73" t="n">
        <v>5</v>
      </c>
      <c r="L250" s="70"/>
      <c r="M250" s="70"/>
    </row>
    <row r="251" customFormat="false" ht="15" hidden="false" customHeight="false" outlineLevel="0" collapsed="false">
      <c r="A251" s="70" t="s">
        <v>356</v>
      </c>
      <c r="B251" s="71" t="s">
        <v>357</v>
      </c>
      <c r="C251" s="70" t="s">
        <v>175</v>
      </c>
      <c r="D251" s="72"/>
      <c r="E251" s="73"/>
      <c r="F251" s="73"/>
      <c r="G251" s="73"/>
      <c r="H251" s="73"/>
      <c r="I251" s="73"/>
      <c r="J251" s="70"/>
      <c r="K251" s="70"/>
      <c r="L251" s="70"/>
      <c r="M251" s="70"/>
    </row>
    <row r="252" customFormat="false" ht="15" hidden="false" customHeight="false" outlineLevel="0" collapsed="false">
      <c r="A252" s="70" t="s">
        <v>356</v>
      </c>
      <c r="B252" s="71" t="s">
        <v>358</v>
      </c>
      <c r="C252" s="70" t="s">
        <v>172</v>
      </c>
      <c r="D252" s="72" t="s">
        <v>196</v>
      </c>
      <c r="E252" s="73" t="n">
        <v>60000</v>
      </c>
      <c r="F252" s="73" t="n">
        <v>80000</v>
      </c>
      <c r="G252" s="73" t="n">
        <v>100000</v>
      </c>
      <c r="H252" s="73" t="n">
        <v>150000</v>
      </c>
      <c r="I252" s="73" t="s">
        <v>253</v>
      </c>
      <c r="J252" s="70"/>
      <c r="K252" s="73" t="n">
        <v>15000</v>
      </c>
      <c r="L252" s="73" t="n">
        <v>25000</v>
      </c>
      <c r="M252" s="73" t="n">
        <v>25000</v>
      </c>
    </row>
    <row r="253" customFormat="false" ht="15" hidden="false" customHeight="false" outlineLevel="0" collapsed="false">
      <c r="A253" s="70" t="s">
        <v>356</v>
      </c>
      <c r="B253" s="71" t="s">
        <v>358</v>
      </c>
      <c r="C253" s="70" t="s">
        <v>175</v>
      </c>
      <c r="D253" s="72"/>
      <c r="E253" s="73"/>
      <c r="F253" s="73"/>
      <c r="G253" s="73"/>
      <c r="H253" s="73"/>
      <c r="I253" s="73"/>
      <c r="J253" s="70"/>
      <c r="K253" s="70"/>
      <c r="L253" s="70"/>
      <c r="M253" s="70"/>
    </row>
    <row r="254" customFormat="false" ht="15" hidden="false" customHeight="false" outlineLevel="0" collapsed="false">
      <c r="A254" s="70" t="s">
        <v>359</v>
      </c>
      <c r="B254" s="71" t="s">
        <v>360</v>
      </c>
      <c r="C254" s="70" t="s">
        <v>172</v>
      </c>
      <c r="D254" s="72" t="s">
        <v>173</v>
      </c>
      <c r="E254" s="73" t="n">
        <v>75</v>
      </c>
      <c r="F254" s="73" t="n">
        <v>102</v>
      </c>
      <c r="G254" s="73" t="n">
        <v>102</v>
      </c>
      <c r="H254" s="73" t="n">
        <v>122</v>
      </c>
      <c r="I254" s="73" t="s">
        <v>253</v>
      </c>
      <c r="J254" s="73" t="s">
        <v>361</v>
      </c>
      <c r="K254" s="70" t="s">
        <v>174</v>
      </c>
      <c r="L254" s="70"/>
      <c r="M254" s="70"/>
    </row>
    <row r="255" customFormat="false" ht="15" hidden="false" customHeight="false" outlineLevel="0" collapsed="false">
      <c r="A255" s="70" t="s">
        <v>359</v>
      </c>
      <c r="B255" s="71" t="s">
        <v>360</v>
      </c>
      <c r="C255" s="70" t="s">
        <v>175</v>
      </c>
      <c r="D255" s="72"/>
      <c r="E255" s="73"/>
      <c r="F255" s="73"/>
      <c r="G255" s="73"/>
      <c r="H255" s="73"/>
      <c r="I255" s="73"/>
      <c r="J255" s="70"/>
      <c r="K255" s="70"/>
      <c r="L255" s="70"/>
      <c r="M255" s="70"/>
    </row>
    <row r="256" customFormat="false" ht="15" hidden="false" customHeight="false" outlineLevel="0" collapsed="false">
      <c r="A256" s="70" t="s">
        <v>359</v>
      </c>
      <c r="B256" s="71" t="s">
        <v>362</v>
      </c>
      <c r="C256" s="70" t="s">
        <v>172</v>
      </c>
      <c r="D256" s="72" t="s">
        <v>173</v>
      </c>
      <c r="E256" s="73" t="n">
        <v>81</v>
      </c>
      <c r="F256" s="73" t="n">
        <v>81</v>
      </c>
      <c r="G256" s="73" t="n">
        <v>116</v>
      </c>
      <c r="H256" s="73" t="n">
        <v>116</v>
      </c>
      <c r="I256" s="73" t="s">
        <v>253</v>
      </c>
      <c r="J256" s="70"/>
      <c r="K256" s="70"/>
      <c r="L256" s="70"/>
      <c r="M256" s="70"/>
    </row>
    <row r="257" customFormat="false" ht="15" hidden="false" customHeight="false" outlineLevel="0" collapsed="false">
      <c r="A257" s="70" t="s">
        <v>359</v>
      </c>
      <c r="B257" s="71" t="s">
        <v>362</v>
      </c>
      <c r="C257" s="70" t="s">
        <v>175</v>
      </c>
      <c r="D257" s="72"/>
      <c r="E257" s="73"/>
      <c r="F257" s="73"/>
      <c r="G257" s="73"/>
      <c r="H257" s="73"/>
      <c r="I257" s="73"/>
      <c r="J257" s="70"/>
      <c r="K257" s="70"/>
      <c r="L257" s="70"/>
      <c r="M257" s="70"/>
    </row>
    <row r="258" customFormat="false" ht="15" hidden="false" customHeight="false" outlineLevel="0" collapsed="false">
      <c r="A258" s="70" t="s">
        <v>363</v>
      </c>
      <c r="B258" s="71" t="s">
        <v>364</v>
      </c>
      <c r="C258" s="70" t="s">
        <v>172</v>
      </c>
      <c r="D258" s="72" t="s">
        <v>178</v>
      </c>
      <c r="E258" s="73" t="n">
        <v>70</v>
      </c>
      <c r="F258" s="73" t="n">
        <v>73</v>
      </c>
      <c r="G258" s="73" t="n">
        <v>106</v>
      </c>
      <c r="H258" s="73" t="n">
        <v>118</v>
      </c>
      <c r="I258" s="73" t="s">
        <v>253</v>
      </c>
      <c r="J258" s="70"/>
      <c r="K258" s="73" t="n">
        <v>14</v>
      </c>
      <c r="L258" s="70"/>
      <c r="M258" s="70"/>
    </row>
    <row r="259" customFormat="false" ht="15" hidden="false" customHeight="false" outlineLevel="0" collapsed="false">
      <c r="A259" s="70" t="s">
        <v>363</v>
      </c>
      <c r="B259" s="71" t="s">
        <v>364</v>
      </c>
      <c r="C259" s="70" t="s">
        <v>175</v>
      </c>
      <c r="D259" s="72"/>
      <c r="E259" s="73"/>
      <c r="F259" s="73"/>
      <c r="G259" s="73"/>
      <c r="H259" s="73"/>
      <c r="I259" s="73"/>
      <c r="J259" s="70"/>
      <c r="K259" s="70"/>
      <c r="L259" s="70"/>
      <c r="M259" s="70"/>
    </row>
    <row r="260" customFormat="false" ht="15" hidden="false" customHeight="false" outlineLevel="0" collapsed="false">
      <c r="A260" s="70" t="s">
        <v>363</v>
      </c>
      <c r="B260" s="71" t="s">
        <v>365</v>
      </c>
      <c r="C260" s="70" t="s">
        <v>172</v>
      </c>
      <c r="D260" s="72" t="s">
        <v>178</v>
      </c>
      <c r="E260" s="73" t="n">
        <v>27</v>
      </c>
      <c r="F260" s="73" t="n">
        <v>30</v>
      </c>
      <c r="G260" s="73" t="n">
        <v>30</v>
      </c>
      <c r="H260" s="73" t="n">
        <v>45</v>
      </c>
      <c r="I260" s="73" t="n">
        <v>8</v>
      </c>
      <c r="J260" s="70"/>
      <c r="K260" s="73" t="n">
        <v>8</v>
      </c>
      <c r="L260" s="73" t="n">
        <v>12</v>
      </c>
      <c r="M260" s="73" t="n">
        <v>12</v>
      </c>
    </row>
    <row r="261" customFormat="false" ht="15" hidden="false" customHeight="false" outlineLevel="0" collapsed="false">
      <c r="A261" s="70" t="s">
        <v>363</v>
      </c>
      <c r="B261" s="71" t="s">
        <v>365</v>
      </c>
      <c r="C261" s="70" t="s">
        <v>175</v>
      </c>
      <c r="D261" s="72"/>
      <c r="E261" s="73"/>
      <c r="F261" s="73"/>
      <c r="G261" s="73"/>
      <c r="H261" s="73"/>
      <c r="I261" s="73"/>
      <c r="J261" s="70"/>
      <c r="K261" s="70"/>
      <c r="L261" s="70"/>
      <c r="M261" s="70"/>
    </row>
    <row r="262" customFormat="false" ht="15" hidden="false" customHeight="false" outlineLevel="0" collapsed="false">
      <c r="A262" s="70" t="s">
        <v>366</v>
      </c>
      <c r="B262" s="71" t="s">
        <v>367</v>
      </c>
      <c r="C262" s="70" t="s">
        <v>172</v>
      </c>
      <c r="D262" s="72" t="s">
        <v>178</v>
      </c>
      <c r="E262" s="73" t="n">
        <v>37</v>
      </c>
      <c r="F262" s="73" t="n">
        <v>41</v>
      </c>
      <c r="G262" s="73" t="n">
        <v>45</v>
      </c>
      <c r="H262" s="73" t="n">
        <v>60</v>
      </c>
      <c r="I262" s="73" t="s">
        <v>253</v>
      </c>
      <c r="J262" s="70"/>
      <c r="K262" s="70" t="s">
        <v>174</v>
      </c>
      <c r="L262" s="70"/>
      <c r="M262" s="70"/>
    </row>
    <row r="263" customFormat="false" ht="15" hidden="false" customHeight="false" outlineLevel="0" collapsed="false">
      <c r="A263" s="70" t="s">
        <v>366</v>
      </c>
      <c r="B263" s="71" t="s">
        <v>367</v>
      </c>
      <c r="C263" s="70" t="s">
        <v>175</v>
      </c>
      <c r="D263" s="72"/>
      <c r="E263" s="73"/>
      <c r="F263" s="73"/>
      <c r="G263" s="73"/>
      <c r="H263" s="73"/>
      <c r="I263" s="73"/>
      <c r="J263" s="70"/>
      <c r="K263" s="70"/>
      <c r="L263" s="70"/>
      <c r="M263" s="70"/>
    </row>
    <row r="264" customFormat="false" ht="15" hidden="false" customHeight="false" outlineLevel="0" collapsed="false">
      <c r="A264" s="70" t="s">
        <v>366</v>
      </c>
      <c r="B264" s="71" t="s">
        <v>368</v>
      </c>
      <c r="C264" s="70" t="s">
        <v>172</v>
      </c>
      <c r="D264" s="72" t="s">
        <v>178</v>
      </c>
      <c r="E264" s="73" t="n">
        <v>39</v>
      </c>
      <c r="F264" s="73" t="n">
        <v>39</v>
      </c>
      <c r="G264" s="73" t="n">
        <v>39</v>
      </c>
      <c r="H264" s="73"/>
      <c r="I264" s="73"/>
      <c r="J264" s="70"/>
      <c r="K264" s="70"/>
      <c r="L264" s="70"/>
      <c r="M264" s="70"/>
    </row>
    <row r="265" customFormat="false" ht="15" hidden="false" customHeight="false" outlineLevel="0" collapsed="false">
      <c r="A265" s="70" t="s">
        <v>366</v>
      </c>
      <c r="B265" s="71" t="s">
        <v>368</v>
      </c>
      <c r="C265" s="70" t="s">
        <v>175</v>
      </c>
      <c r="D265" s="72"/>
      <c r="E265" s="73"/>
      <c r="F265" s="73"/>
      <c r="G265" s="73"/>
      <c r="H265" s="73"/>
      <c r="I265" s="73"/>
      <c r="J265" s="70"/>
      <c r="K265" s="70"/>
      <c r="L265" s="70"/>
      <c r="M265" s="70"/>
    </row>
    <row r="266" customFormat="false" ht="15" hidden="false" customHeight="false" outlineLevel="0" collapsed="false">
      <c r="A266" s="70" t="s">
        <v>369</v>
      </c>
      <c r="B266" s="71" t="s">
        <v>370</v>
      </c>
      <c r="C266" s="70" t="s">
        <v>172</v>
      </c>
      <c r="D266" s="72" t="s">
        <v>178</v>
      </c>
      <c r="E266" s="73" t="n">
        <v>59</v>
      </c>
      <c r="F266" s="73" t="n">
        <v>59</v>
      </c>
      <c r="G266" s="73" t="n">
        <v>79</v>
      </c>
      <c r="H266" s="73" t="n">
        <v>113</v>
      </c>
      <c r="I266" s="73" t="s">
        <v>253</v>
      </c>
      <c r="J266" s="73" t="n">
        <v>162</v>
      </c>
      <c r="K266" s="73" t="n">
        <v>5</v>
      </c>
      <c r="L266" s="70"/>
      <c r="M266" s="70"/>
    </row>
    <row r="267" customFormat="false" ht="15" hidden="false" customHeight="false" outlineLevel="0" collapsed="false">
      <c r="A267" s="70" t="s">
        <v>369</v>
      </c>
      <c r="B267" s="71" t="s">
        <v>370</v>
      </c>
      <c r="C267" s="70" t="s">
        <v>175</v>
      </c>
      <c r="D267" s="72"/>
      <c r="E267" s="73"/>
      <c r="F267" s="73"/>
      <c r="G267" s="73"/>
      <c r="H267" s="73"/>
      <c r="I267" s="73"/>
      <c r="J267" s="70"/>
      <c r="K267" s="70"/>
      <c r="L267" s="70"/>
      <c r="M267" s="70"/>
    </row>
    <row r="268" customFormat="false" ht="15" hidden="false" customHeight="false" outlineLevel="0" collapsed="false">
      <c r="A268" s="70" t="s">
        <v>369</v>
      </c>
      <c r="B268" s="71" t="s">
        <v>371</v>
      </c>
      <c r="C268" s="70" t="s">
        <v>172</v>
      </c>
      <c r="D268" s="72" t="s">
        <v>178</v>
      </c>
      <c r="E268" s="73" t="n">
        <v>72</v>
      </c>
      <c r="F268" s="73" t="n">
        <v>72</v>
      </c>
      <c r="G268" s="73" t="n">
        <v>86</v>
      </c>
      <c r="H268" s="73" t="n">
        <v>99</v>
      </c>
      <c r="I268" s="73" t="s">
        <v>253</v>
      </c>
      <c r="J268" s="73" t="n">
        <v>117</v>
      </c>
      <c r="K268" s="73" t="n">
        <v>4</v>
      </c>
      <c r="L268" s="70"/>
      <c r="M268" s="70"/>
    </row>
    <row r="269" customFormat="false" ht="15" hidden="false" customHeight="false" outlineLevel="0" collapsed="false">
      <c r="A269" s="70" t="s">
        <v>369</v>
      </c>
      <c r="B269" s="71" t="s">
        <v>371</v>
      </c>
      <c r="C269" s="70" t="s">
        <v>175</v>
      </c>
      <c r="D269" s="72"/>
      <c r="E269" s="73"/>
      <c r="F269" s="73"/>
      <c r="G269" s="73"/>
      <c r="H269" s="73"/>
      <c r="I269" s="73"/>
      <c r="J269" s="70"/>
      <c r="K269" s="70"/>
      <c r="L269" s="70"/>
      <c r="M269" s="70"/>
    </row>
    <row r="270" customFormat="false" ht="15" hidden="false" customHeight="false" outlineLevel="0" collapsed="false">
      <c r="A270" s="70" t="s">
        <v>369</v>
      </c>
      <c r="B270" s="71" t="s">
        <v>372</v>
      </c>
      <c r="C270" s="70" t="s">
        <v>172</v>
      </c>
      <c r="D270" s="72" t="s">
        <v>178</v>
      </c>
      <c r="E270" s="73" t="n">
        <v>43</v>
      </c>
      <c r="F270" s="73" t="n">
        <v>47</v>
      </c>
      <c r="G270" s="73" t="n">
        <v>47</v>
      </c>
      <c r="H270" s="73" t="n">
        <v>83</v>
      </c>
      <c r="I270" s="73" t="s">
        <v>253</v>
      </c>
      <c r="J270" s="70"/>
      <c r="K270" s="73" t="s">
        <v>174</v>
      </c>
      <c r="L270" s="70"/>
      <c r="M270" s="70"/>
    </row>
    <row r="271" customFormat="false" ht="15" hidden="false" customHeight="false" outlineLevel="0" collapsed="false">
      <c r="A271" s="70" t="s">
        <v>369</v>
      </c>
      <c r="B271" s="71" t="s">
        <v>372</v>
      </c>
      <c r="C271" s="70" t="s">
        <v>175</v>
      </c>
      <c r="D271" s="72"/>
      <c r="E271" s="73"/>
      <c r="F271" s="73"/>
      <c r="G271" s="73"/>
      <c r="H271" s="73"/>
      <c r="I271" s="73"/>
      <c r="J271" s="70"/>
      <c r="K271" s="70"/>
      <c r="L271" s="70"/>
      <c r="M271" s="70"/>
    </row>
    <row r="272" customFormat="false" ht="15" hidden="false" customHeight="false" outlineLevel="0" collapsed="false">
      <c r="A272" s="70" t="s">
        <v>369</v>
      </c>
      <c r="B272" s="71" t="s">
        <v>373</v>
      </c>
      <c r="C272" s="70" t="s">
        <v>172</v>
      </c>
      <c r="D272" s="72" t="s">
        <v>178</v>
      </c>
      <c r="E272" s="73" t="n">
        <v>113</v>
      </c>
      <c r="F272" s="73" t="n">
        <v>113</v>
      </c>
      <c r="G272" s="73" t="n">
        <v>112</v>
      </c>
      <c r="H272" s="73" t="n">
        <v>186</v>
      </c>
      <c r="I272" s="73" t="s">
        <v>253</v>
      </c>
      <c r="J272" s="73" t="n">
        <v>244</v>
      </c>
      <c r="K272" s="73" t="n">
        <v>11</v>
      </c>
      <c r="L272" s="70"/>
      <c r="M272" s="70"/>
    </row>
    <row r="273" customFormat="false" ht="15" hidden="false" customHeight="false" outlineLevel="0" collapsed="false">
      <c r="A273" s="70" t="s">
        <v>369</v>
      </c>
      <c r="B273" s="71" t="s">
        <v>373</v>
      </c>
      <c r="C273" s="70" t="s">
        <v>175</v>
      </c>
      <c r="D273" s="72"/>
      <c r="E273" s="73"/>
      <c r="F273" s="73"/>
      <c r="G273" s="73"/>
      <c r="H273" s="73"/>
      <c r="I273" s="73"/>
      <c r="J273" s="70"/>
      <c r="K273" s="70"/>
      <c r="L273" s="70"/>
      <c r="M273" s="70"/>
    </row>
    <row r="274" customFormat="false" ht="15" hidden="false" customHeight="false" outlineLevel="0" collapsed="false">
      <c r="A274" s="70" t="s">
        <v>369</v>
      </c>
      <c r="B274" s="71" t="s">
        <v>374</v>
      </c>
      <c r="C274" s="70" t="s">
        <v>172</v>
      </c>
      <c r="D274" s="72" t="s">
        <v>178</v>
      </c>
      <c r="E274" s="73" t="n">
        <v>54</v>
      </c>
      <c r="F274" s="73" t="n">
        <v>61</v>
      </c>
      <c r="G274" s="73" t="n">
        <v>61</v>
      </c>
      <c r="H274" s="73" t="n">
        <v>115</v>
      </c>
      <c r="I274" s="73" t="s">
        <v>253</v>
      </c>
      <c r="J274" s="70"/>
      <c r="K274" s="73" t="s">
        <v>174</v>
      </c>
      <c r="L274" s="70"/>
      <c r="M274" s="70"/>
    </row>
    <row r="275" customFormat="false" ht="15" hidden="false" customHeight="false" outlineLevel="0" collapsed="false">
      <c r="A275" s="70" t="s">
        <v>369</v>
      </c>
      <c r="B275" s="71" t="s">
        <v>374</v>
      </c>
      <c r="C275" s="70" t="s">
        <v>175</v>
      </c>
      <c r="D275" s="72"/>
      <c r="E275" s="73"/>
      <c r="F275" s="73"/>
      <c r="G275" s="73"/>
      <c r="H275" s="73"/>
      <c r="I275" s="73"/>
      <c r="J275" s="70"/>
      <c r="K275" s="70"/>
      <c r="L275" s="70"/>
      <c r="M275" s="70"/>
    </row>
    <row r="276" customFormat="false" ht="15" hidden="false" customHeight="false" outlineLevel="0" collapsed="false">
      <c r="A276" s="70" t="s">
        <v>369</v>
      </c>
      <c r="B276" s="71" t="s">
        <v>375</v>
      </c>
      <c r="C276" s="70" t="s">
        <v>172</v>
      </c>
      <c r="D276" s="72" t="s">
        <v>178</v>
      </c>
      <c r="E276" s="73" t="n">
        <v>25</v>
      </c>
      <c r="F276" s="73" t="n">
        <v>27</v>
      </c>
      <c r="G276" s="73" t="n">
        <v>27</v>
      </c>
      <c r="H276" s="73" t="n">
        <v>57</v>
      </c>
      <c r="I276" s="73" t="s">
        <v>253</v>
      </c>
      <c r="J276" s="70"/>
      <c r="K276" s="73" t="s">
        <v>174</v>
      </c>
      <c r="L276" s="70"/>
      <c r="M276" s="70"/>
    </row>
    <row r="277" customFormat="false" ht="15" hidden="false" customHeight="false" outlineLevel="0" collapsed="false">
      <c r="A277" s="70" t="s">
        <v>369</v>
      </c>
      <c r="B277" s="71" t="s">
        <v>375</v>
      </c>
      <c r="C277" s="70" t="s">
        <v>175</v>
      </c>
      <c r="D277" s="72"/>
      <c r="E277" s="73"/>
      <c r="F277" s="73"/>
      <c r="G277" s="73"/>
      <c r="H277" s="73"/>
      <c r="I277" s="73"/>
      <c r="J277" s="70"/>
      <c r="K277" s="70"/>
      <c r="L277" s="70"/>
      <c r="M277" s="70"/>
    </row>
    <row r="278" customFormat="false" ht="15" hidden="false" customHeight="false" outlineLevel="0" collapsed="false">
      <c r="A278" s="70" t="s">
        <v>369</v>
      </c>
      <c r="B278" s="71" t="s">
        <v>376</v>
      </c>
      <c r="C278" s="70" t="s">
        <v>172</v>
      </c>
      <c r="D278" s="72" t="s">
        <v>178</v>
      </c>
      <c r="E278" s="73" t="n">
        <v>43</v>
      </c>
      <c r="F278" s="73" t="n">
        <v>49</v>
      </c>
      <c r="G278" s="73" t="n">
        <v>49</v>
      </c>
      <c r="H278" s="73" t="n">
        <v>54</v>
      </c>
      <c r="I278" s="73" t="s">
        <v>253</v>
      </c>
      <c r="J278" s="70"/>
      <c r="K278" s="73" t="n">
        <v>7</v>
      </c>
      <c r="L278" s="70"/>
      <c r="M278" s="70"/>
    </row>
    <row r="279" customFormat="false" ht="15" hidden="false" customHeight="false" outlineLevel="0" collapsed="false">
      <c r="A279" s="70" t="s">
        <v>369</v>
      </c>
      <c r="B279" s="71" t="s">
        <v>376</v>
      </c>
      <c r="C279" s="70" t="s">
        <v>175</v>
      </c>
      <c r="D279" s="72"/>
      <c r="E279" s="73"/>
      <c r="F279" s="73"/>
      <c r="G279" s="73"/>
      <c r="H279" s="73"/>
      <c r="I279" s="73"/>
      <c r="J279" s="70"/>
      <c r="K279" s="70"/>
      <c r="L279" s="70"/>
      <c r="M279" s="70"/>
    </row>
    <row r="280" customFormat="false" ht="15" hidden="false" customHeight="false" outlineLevel="0" collapsed="false">
      <c r="A280" s="70" t="s">
        <v>369</v>
      </c>
      <c r="B280" s="71" t="s">
        <v>377</v>
      </c>
      <c r="C280" s="70" t="s">
        <v>172</v>
      </c>
      <c r="D280" s="72" t="s">
        <v>178</v>
      </c>
      <c r="E280" s="73" t="n">
        <v>43</v>
      </c>
      <c r="F280" s="73" t="n">
        <v>43</v>
      </c>
      <c r="G280" s="73" t="n">
        <v>43</v>
      </c>
      <c r="H280" s="73"/>
      <c r="I280" s="73" t="s">
        <v>241</v>
      </c>
      <c r="J280" s="70"/>
      <c r="K280" s="73" t="s">
        <v>174</v>
      </c>
      <c r="L280" s="70"/>
      <c r="M280" s="70"/>
    </row>
    <row r="281" customFormat="false" ht="15" hidden="false" customHeight="false" outlineLevel="0" collapsed="false">
      <c r="A281" s="70" t="s">
        <v>369</v>
      </c>
      <c r="B281" s="71" t="s">
        <v>377</v>
      </c>
      <c r="C281" s="70" t="s">
        <v>175</v>
      </c>
      <c r="D281" s="72"/>
      <c r="E281" s="73"/>
      <c r="F281" s="73"/>
      <c r="G281" s="73"/>
      <c r="H281" s="73"/>
      <c r="I281" s="73"/>
      <c r="J281" s="70"/>
      <c r="K281" s="70"/>
      <c r="L281" s="70"/>
      <c r="M281" s="70"/>
    </row>
    <row r="282" customFormat="false" ht="15" hidden="false" customHeight="false" outlineLevel="0" collapsed="false">
      <c r="A282" s="70" t="s">
        <v>369</v>
      </c>
      <c r="B282" s="71" t="s">
        <v>378</v>
      </c>
      <c r="C282" s="70" t="s">
        <v>172</v>
      </c>
      <c r="D282" s="72" t="s">
        <v>178</v>
      </c>
      <c r="E282" s="73" t="n">
        <v>40</v>
      </c>
      <c r="F282" s="73" t="n">
        <v>40</v>
      </c>
      <c r="G282" s="73" t="n">
        <v>40</v>
      </c>
      <c r="H282" s="73" t="n">
        <v>40</v>
      </c>
      <c r="I282" s="73" t="s">
        <v>253</v>
      </c>
      <c r="J282" s="70"/>
      <c r="K282" s="73" t="n">
        <v>7</v>
      </c>
      <c r="L282" s="70"/>
      <c r="M282" s="70"/>
    </row>
    <row r="283" customFormat="false" ht="15" hidden="false" customHeight="false" outlineLevel="0" collapsed="false">
      <c r="A283" s="70" t="s">
        <v>369</v>
      </c>
      <c r="B283" s="71" t="s">
        <v>378</v>
      </c>
      <c r="C283" s="70" t="s">
        <v>175</v>
      </c>
      <c r="D283" s="72"/>
      <c r="E283" s="73"/>
      <c r="F283" s="73"/>
      <c r="G283" s="73"/>
      <c r="H283" s="73"/>
      <c r="I283" s="73"/>
      <c r="J283" s="70"/>
      <c r="K283" s="70"/>
      <c r="L283" s="70"/>
      <c r="M283" s="70"/>
    </row>
    <row r="284" customFormat="false" ht="15" hidden="false" customHeight="false" outlineLevel="0" collapsed="false">
      <c r="A284" s="70" t="s">
        <v>369</v>
      </c>
      <c r="B284" s="71" t="s">
        <v>379</v>
      </c>
      <c r="C284" s="70" t="s">
        <v>172</v>
      </c>
      <c r="D284" s="70" t="s">
        <v>196</v>
      </c>
      <c r="E284" s="70" t="n">
        <v>105000</v>
      </c>
      <c r="F284" s="70" t="n">
        <v>105000</v>
      </c>
      <c r="G284" s="70" t="n">
        <v>123000</v>
      </c>
      <c r="H284" s="70" t="n">
        <v>171000</v>
      </c>
      <c r="I284" s="73" t="s">
        <v>253</v>
      </c>
      <c r="J284" s="70"/>
      <c r="K284" s="70"/>
      <c r="L284" s="70"/>
      <c r="M284" s="70"/>
    </row>
    <row r="285" customFormat="false" ht="15" hidden="false" customHeight="false" outlineLevel="0" collapsed="false">
      <c r="A285" s="70" t="s">
        <v>369</v>
      </c>
      <c r="B285" s="71" t="s">
        <v>379</v>
      </c>
      <c r="C285" s="70" t="s">
        <v>175</v>
      </c>
      <c r="D285" s="72"/>
      <c r="E285" s="73"/>
      <c r="F285" s="73"/>
      <c r="G285" s="73"/>
      <c r="H285" s="73"/>
      <c r="I285" s="73"/>
      <c r="J285" s="70"/>
      <c r="K285" s="70"/>
      <c r="L285" s="70"/>
      <c r="M285" s="70"/>
    </row>
    <row r="286" customFormat="false" ht="15" hidden="false" customHeight="false" outlineLevel="0" collapsed="false">
      <c r="A286" s="70" t="s">
        <v>380</v>
      </c>
      <c r="B286" s="71" t="s">
        <v>381</v>
      </c>
      <c r="C286" s="70" t="s">
        <v>172</v>
      </c>
      <c r="D286" s="72" t="s">
        <v>173</v>
      </c>
      <c r="E286" s="73" t="n">
        <v>30</v>
      </c>
      <c r="F286" s="73" t="n">
        <v>30</v>
      </c>
      <c r="G286" s="73" t="n">
        <v>30</v>
      </c>
      <c r="H286" s="73" t="n">
        <v>47</v>
      </c>
      <c r="I286" s="73" t="s">
        <v>253</v>
      </c>
      <c r="J286" s="70"/>
      <c r="K286" s="70"/>
      <c r="L286" s="70"/>
      <c r="M286" s="70"/>
    </row>
    <row r="287" customFormat="false" ht="15" hidden="false" customHeight="false" outlineLevel="0" collapsed="false">
      <c r="A287" s="70" t="s">
        <v>380</v>
      </c>
      <c r="B287" s="71" t="s">
        <v>381</v>
      </c>
      <c r="C287" s="70" t="s">
        <v>175</v>
      </c>
      <c r="D287" s="72"/>
      <c r="E287" s="73"/>
      <c r="F287" s="73"/>
      <c r="G287" s="73"/>
      <c r="H287" s="73"/>
      <c r="I287" s="73"/>
      <c r="J287" s="70"/>
      <c r="K287" s="70"/>
      <c r="L287" s="70"/>
      <c r="M287" s="70"/>
    </row>
    <row r="288" customFormat="false" ht="15" hidden="false" customHeight="false" outlineLevel="0" collapsed="false">
      <c r="A288" s="70" t="s">
        <v>380</v>
      </c>
      <c r="B288" s="71" t="s">
        <v>382</v>
      </c>
      <c r="C288" s="70" t="s">
        <v>172</v>
      </c>
      <c r="D288" s="72" t="s">
        <v>173</v>
      </c>
      <c r="E288" s="73" t="n">
        <v>54</v>
      </c>
      <c r="F288" s="73" t="n">
        <v>54</v>
      </c>
      <c r="G288" s="73" t="n">
        <v>54</v>
      </c>
      <c r="H288" s="73" t="n">
        <v>63</v>
      </c>
      <c r="I288" s="73"/>
      <c r="J288" s="70"/>
      <c r="K288" s="70"/>
      <c r="L288" s="70"/>
      <c r="M288" s="70"/>
    </row>
    <row r="289" customFormat="false" ht="15" hidden="false" customHeight="false" outlineLevel="0" collapsed="false">
      <c r="A289" s="70" t="s">
        <v>380</v>
      </c>
      <c r="B289" s="71" t="s">
        <v>382</v>
      </c>
      <c r="C289" s="70" t="s">
        <v>175</v>
      </c>
      <c r="D289" s="72"/>
      <c r="E289" s="73"/>
      <c r="F289" s="73"/>
      <c r="G289" s="73"/>
      <c r="H289" s="73"/>
      <c r="I289" s="73"/>
      <c r="J289" s="70"/>
      <c r="K289" s="70"/>
      <c r="L289" s="70"/>
      <c r="M289" s="70"/>
    </row>
    <row r="290" customFormat="false" ht="15" hidden="false" customHeight="false" outlineLevel="0" collapsed="false">
      <c r="A290" s="70" t="s">
        <v>380</v>
      </c>
      <c r="B290" s="71" t="s">
        <v>383</v>
      </c>
      <c r="C290" s="70" t="s">
        <v>172</v>
      </c>
      <c r="D290" s="72" t="s">
        <v>196</v>
      </c>
      <c r="E290" s="73" t="n">
        <v>120000</v>
      </c>
      <c r="F290" s="73" t="n">
        <v>120000</v>
      </c>
      <c r="G290" s="73" t="n">
        <v>120000</v>
      </c>
      <c r="H290" s="73" t="n">
        <v>120000</v>
      </c>
      <c r="I290" s="73" t="s">
        <v>253</v>
      </c>
      <c r="J290" s="70"/>
      <c r="K290" s="70"/>
      <c r="L290" s="70"/>
      <c r="M290" s="70"/>
    </row>
    <row r="291" customFormat="false" ht="15" hidden="false" customHeight="false" outlineLevel="0" collapsed="false">
      <c r="A291" s="70" t="s">
        <v>380</v>
      </c>
      <c r="B291" s="71" t="s">
        <v>383</v>
      </c>
      <c r="C291" s="70" t="s">
        <v>175</v>
      </c>
      <c r="D291" s="72"/>
      <c r="E291" s="73"/>
      <c r="F291" s="73"/>
      <c r="G291" s="73"/>
      <c r="H291" s="73"/>
      <c r="I291" s="73"/>
      <c r="J291" s="70"/>
      <c r="K291" s="70"/>
      <c r="L291" s="70"/>
      <c r="M291" s="70"/>
    </row>
    <row r="292" customFormat="false" ht="15" hidden="false" customHeight="false" outlineLevel="0" collapsed="false">
      <c r="A292" s="70" t="s">
        <v>380</v>
      </c>
      <c r="B292" s="71" t="s">
        <v>384</v>
      </c>
      <c r="C292" s="70" t="s">
        <v>172</v>
      </c>
      <c r="D292" s="72" t="s">
        <v>196</v>
      </c>
      <c r="E292" s="73" t="n">
        <v>120000</v>
      </c>
      <c r="F292" s="73" t="n">
        <v>150000</v>
      </c>
      <c r="G292" s="73" t="n">
        <v>150000</v>
      </c>
      <c r="H292" s="73" t="n">
        <v>190000</v>
      </c>
      <c r="I292" s="73" t="s">
        <v>253</v>
      </c>
      <c r="J292" s="70"/>
      <c r="K292" s="70"/>
      <c r="L292" s="70"/>
      <c r="M292" s="70"/>
    </row>
    <row r="293" customFormat="false" ht="15" hidden="false" customHeight="false" outlineLevel="0" collapsed="false">
      <c r="A293" s="70" t="s">
        <v>380</v>
      </c>
      <c r="B293" s="71" t="s">
        <v>384</v>
      </c>
      <c r="C293" s="70" t="s">
        <v>175</v>
      </c>
      <c r="D293" s="72"/>
      <c r="E293" s="73"/>
      <c r="F293" s="73"/>
      <c r="G293" s="73"/>
      <c r="H293" s="73"/>
      <c r="I293" s="73"/>
      <c r="J293" s="70"/>
      <c r="K293" s="70"/>
      <c r="L293" s="70"/>
      <c r="M293" s="70"/>
    </row>
    <row r="294" customFormat="false" ht="15" hidden="false" customHeight="false" outlineLevel="0" collapsed="false">
      <c r="A294" s="70" t="s">
        <v>385</v>
      </c>
      <c r="B294" s="71" t="s">
        <v>386</v>
      </c>
      <c r="C294" s="70" t="s">
        <v>172</v>
      </c>
      <c r="D294" s="72" t="s">
        <v>196</v>
      </c>
      <c r="E294" s="73" t="n">
        <v>90000</v>
      </c>
      <c r="F294" s="73" t="n">
        <v>130000</v>
      </c>
      <c r="G294" s="73" t="n">
        <v>130000</v>
      </c>
      <c r="H294" s="73" t="n">
        <v>150000</v>
      </c>
      <c r="I294" s="73" t="s">
        <v>253</v>
      </c>
      <c r="J294" s="70"/>
      <c r="K294" s="70"/>
      <c r="L294" s="70"/>
      <c r="M294" s="70"/>
    </row>
    <row r="295" customFormat="false" ht="15" hidden="false" customHeight="false" outlineLevel="0" collapsed="false">
      <c r="A295" s="70" t="s">
        <v>385</v>
      </c>
      <c r="B295" s="71" t="s">
        <v>386</v>
      </c>
      <c r="C295" s="70" t="s">
        <v>175</v>
      </c>
      <c r="D295" s="72"/>
      <c r="E295" s="73"/>
      <c r="F295" s="73"/>
      <c r="G295" s="73"/>
      <c r="H295" s="73"/>
      <c r="I295" s="73"/>
      <c r="J295" s="70"/>
      <c r="K295" s="70"/>
      <c r="L295" s="70"/>
      <c r="M295" s="70"/>
    </row>
    <row r="296" customFormat="false" ht="15" hidden="false" customHeight="false" outlineLevel="0" collapsed="false">
      <c r="A296" s="70" t="s">
        <v>385</v>
      </c>
      <c r="B296" s="71" t="s">
        <v>387</v>
      </c>
      <c r="C296" s="70" t="s">
        <v>172</v>
      </c>
      <c r="D296" s="72" t="s">
        <v>196</v>
      </c>
      <c r="E296" s="73" t="n">
        <v>100000</v>
      </c>
      <c r="F296" s="73" t="n">
        <v>100000</v>
      </c>
      <c r="G296" s="73" t="n">
        <v>150000</v>
      </c>
      <c r="H296" s="73" t="n">
        <v>190000</v>
      </c>
      <c r="I296" s="73" t="s">
        <v>253</v>
      </c>
      <c r="J296" s="70"/>
      <c r="K296" s="70"/>
      <c r="L296" s="70"/>
      <c r="M296" s="70"/>
    </row>
    <row r="297" customFormat="false" ht="15" hidden="false" customHeight="false" outlineLevel="0" collapsed="false">
      <c r="A297" s="70" t="s">
        <v>385</v>
      </c>
      <c r="B297" s="71" t="s">
        <v>387</v>
      </c>
      <c r="C297" s="70" t="s">
        <v>175</v>
      </c>
      <c r="D297" s="72"/>
      <c r="E297" s="73"/>
      <c r="F297" s="73"/>
      <c r="G297" s="73"/>
      <c r="H297" s="73"/>
      <c r="I297" s="73"/>
      <c r="J297" s="70"/>
      <c r="K297" s="70"/>
      <c r="L297" s="70"/>
      <c r="M297" s="70"/>
    </row>
    <row r="298" customFormat="false" ht="15" hidden="false" customHeight="false" outlineLevel="0" collapsed="false">
      <c r="A298" s="70" t="s">
        <v>385</v>
      </c>
      <c r="B298" s="71" t="s">
        <v>388</v>
      </c>
      <c r="C298" s="70" t="s">
        <v>172</v>
      </c>
      <c r="D298" s="72" t="s">
        <v>196</v>
      </c>
      <c r="E298" s="73" t="n">
        <v>90000</v>
      </c>
      <c r="F298" s="73" t="n">
        <v>90000</v>
      </c>
      <c r="G298" s="73" t="n">
        <v>140000</v>
      </c>
      <c r="H298" s="73" t="n">
        <v>160000</v>
      </c>
      <c r="I298" s="73" t="s">
        <v>253</v>
      </c>
      <c r="J298" s="70"/>
      <c r="K298" s="70"/>
      <c r="L298" s="70"/>
      <c r="M298" s="70"/>
    </row>
    <row r="299" customFormat="false" ht="15" hidden="false" customHeight="false" outlineLevel="0" collapsed="false">
      <c r="A299" s="70" t="s">
        <v>385</v>
      </c>
      <c r="B299" s="71" t="s">
        <v>388</v>
      </c>
      <c r="C299" s="70" t="s">
        <v>175</v>
      </c>
      <c r="D299" s="72"/>
      <c r="E299" s="73"/>
      <c r="F299" s="73"/>
      <c r="G299" s="73"/>
      <c r="H299" s="73"/>
      <c r="I299" s="73"/>
      <c r="J299" s="70"/>
      <c r="K299" s="70"/>
      <c r="L299" s="70"/>
      <c r="M299" s="70"/>
    </row>
    <row r="300" customFormat="false" ht="15" hidden="false" customHeight="false" outlineLevel="0" collapsed="false">
      <c r="A300" s="70" t="s">
        <v>389</v>
      </c>
      <c r="B300" s="71" t="s">
        <v>390</v>
      </c>
      <c r="C300" s="70" t="s">
        <v>172</v>
      </c>
      <c r="D300" s="72" t="s">
        <v>196</v>
      </c>
      <c r="E300" s="73" t="n">
        <v>200000</v>
      </c>
      <c r="F300" s="73" t="n">
        <v>220000</v>
      </c>
      <c r="G300" s="73" t="n">
        <v>240000</v>
      </c>
      <c r="H300" s="73" t="n">
        <v>280000</v>
      </c>
      <c r="I300" s="73" t="n">
        <v>20000</v>
      </c>
      <c r="J300" s="70"/>
      <c r="K300" s="73" t="n">
        <v>32500</v>
      </c>
      <c r="L300" s="73" t="n">
        <v>70000</v>
      </c>
      <c r="M300" s="73" t="n">
        <v>70000</v>
      </c>
    </row>
    <row r="301" customFormat="false" ht="15" hidden="false" customHeight="false" outlineLevel="0" collapsed="false">
      <c r="A301" s="70" t="s">
        <v>389</v>
      </c>
      <c r="B301" s="71" t="s">
        <v>390</v>
      </c>
      <c r="C301" s="70" t="s">
        <v>175</v>
      </c>
      <c r="D301" s="72"/>
      <c r="E301" s="73"/>
      <c r="F301" s="73"/>
      <c r="G301" s="73"/>
      <c r="H301" s="73"/>
      <c r="I301" s="73"/>
      <c r="J301" s="70"/>
      <c r="K301" s="70"/>
      <c r="L301" s="70"/>
      <c r="M301" s="70"/>
    </row>
    <row r="302" customFormat="false" ht="15" hidden="false" customHeight="false" outlineLevel="0" collapsed="false">
      <c r="A302" s="70" t="s">
        <v>389</v>
      </c>
      <c r="B302" s="71" t="s">
        <v>391</v>
      </c>
      <c r="C302" s="70" t="s">
        <v>172</v>
      </c>
      <c r="D302" s="72" t="s">
        <v>196</v>
      </c>
      <c r="E302" s="73" t="n">
        <v>100000</v>
      </c>
      <c r="F302" s="73" t="n">
        <v>120000</v>
      </c>
      <c r="G302" s="73" t="n">
        <v>150000</v>
      </c>
      <c r="H302" s="73" t="n">
        <v>200000</v>
      </c>
      <c r="I302" s="73" t="s">
        <v>253</v>
      </c>
      <c r="J302" s="70"/>
      <c r="K302" s="70"/>
      <c r="L302" s="70"/>
      <c r="M302" s="70"/>
    </row>
    <row r="303" customFormat="false" ht="15" hidden="false" customHeight="false" outlineLevel="0" collapsed="false">
      <c r="A303" s="70" t="s">
        <v>389</v>
      </c>
      <c r="B303" s="71" t="s">
        <v>391</v>
      </c>
      <c r="C303" s="70" t="s">
        <v>175</v>
      </c>
      <c r="D303" s="72"/>
      <c r="E303" s="73"/>
      <c r="F303" s="73"/>
      <c r="G303" s="73"/>
      <c r="H303" s="73"/>
      <c r="I303" s="73"/>
      <c r="J303" s="70"/>
      <c r="K303" s="70"/>
      <c r="L303" s="70"/>
      <c r="M303" s="70"/>
    </row>
    <row r="304" customFormat="false" ht="15" hidden="false" customHeight="false" outlineLevel="0" collapsed="false">
      <c r="A304" s="70" t="s">
        <v>389</v>
      </c>
      <c r="B304" s="71" t="s">
        <v>392</v>
      </c>
      <c r="C304" s="70" t="s">
        <v>172</v>
      </c>
      <c r="D304" s="72" t="s">
        <v>196</v>
      </c>
      <c r="E304" s="73" t="n">
        <v>60000</v>
      </c>
      <c r="F304" s="73" t="n">
        <v>75000</v>
      </c>
      <c r="G304" s="73" t="n">
        <v>85000</v>
      </c>
      <c r="H304" s="73"/>
      <c r="I304" s="73" t="n">
        <v>12000</v>
      </c>
      <c r="J304" s="70"/>
      <c r="K304" s="73" t="n">
        <v>10000</v>
      </c>
      <c r="L304" s="73" t="n">
        <v>25000</v>
      </c>
      <c r="M304" s="73" t="n">
        <v>25000</v>
      </c>
    </row>
    <row r="305" customFormat="false" ht="15" hidden="false" customHeight="false" outlineLevel="0" collapsed="false">
      <c r="A305" s="70" t="s">
        <v>389</v>
      </c>
      <c r="B305" s="71" t="s">
        <v>392</v>
      </c>
      <c r="C305" s="70" t="s">
        <v>175</v>
      </c>
      <c r="D305" s="72"/>
      <c r="E305" s="73"/>
      <c r="F305" s="73"/>
      <c r="G305" s="73"/>
      <c r="H305" s="73"/>
      <c r="I305" s="73"/>
      <c r="J305" s="70"/>
      <c r="K305" s="70"/>
      <c r="L305" s="70"/>
      <c r="M305" s="70"/>
    </row>
    <row r="306" customFormat="false" ht="15" hidden="false" customHeight="false" outlineLevel="0" collapsed="false">
      <c r="A306" s="70" t="s">
        <v>393</v>
      </c>
      <c r="B306" s="71" t="s">
        <v>394</v>
      </c>
      <c r="C306" s="70" t="s">
        <v>172</v>
      </c>
      <c r="D306" s="72" t="s">
        <v>178</v>
      </c>
      <c r="E306" s="73" t="n">
        <v>91</v>
      </c>
      <c r="F306" s="73" t="n">
        <v>111</v>
      </c>
      <c r="G306" s="73" t="n">
        <v>129</v>
      </c>
      <c r="H306" s="73" t="n">
        <v>151</v>
      </c>
      <c r="I306" s="73" t="s">
        <v>253</v>
      </c>
      <c r="J306" s="73" t="n">
        <v>241</v>
      </c>
      <c r="K306" s="73" t="s">
        <v>174</v>
      </c>
      <c r="L306" s="70"/>
      <c r="M306" s="70"/>
    </row>
    <row r="307" customFormat="false" ht="15" hidden="false" customHeight="false" outlineLevel="0" collapsed="false">
      <c r="A307" s="70" t="s">
        <v>393</v>
      </c>
      <c r="B307" s="71" t="s">
        <v>394</v>
      </c>
      <c r="C307" s="70" t="s">
        <v>175</v>
      </c>
      <c r="D307" s="72"/>
      <c r="E307" s="73"/>
      <c r="F307" s="73"/>
      <c r="G307" s="73"/>
      <c r="H307" s="73"/>
      <c r="I307" s="73"/>
      <c r="J307" s="70"/>
      <c r="K307" s="70"/>
      <c r="L307" s="70"/>
      <c r="M307" s="70"/>
    </row>
    <row r="308" customFormat="false" ht="15" hidden="false" customHeight="false" outlineLevel="0" collapsed="false">
      <c r="A308" s="70" t="s">
        <v>393</v>
      </c>
      <c r="B308" s="71" t="s">
        <v>395</v>
      </c>
      <c r="C308" s="70" t="s">
        <v>172</v>
      </c>
      <c r="D308" s="72" t="s">
        <v>178</v>
      </c>
      <c r="E308" s="73" t="n">
        <v>26</v>
      </c>
      <c r="F308" s="73" t="n">
        <v>26</v>
      </c>
      <c r="G308" s="73" t="n">
        <v>40</v>
      </c>
      <c r="H308" s="73" t="n">
        <v>47</v>
      </c>
      <c r="I308" s="73" t="s">
        <v>253</v>
      </c>
      <c r="J308" s="73" t="n">
        <v>102</v>
      </c>
      <c r="K308" s="73" t="n">
        <v>4</v>
      </c>
      <c r="L308" s="70"/>
      <c r="M308" s="70"/>
    </row>
    <row r="309" customFormat="false" ht="15" hidden="false" customHeight="false" outlineLevel="0" collapsed="false">
      <c r="A309" s="70" t="s">
        <v>393</v>
      </c>
      <c r="B309" s="71" t="s">
        <v>395</v>
      </c>
      <c r="C309" s="70" t="s">
        <v>175</v>
      </c>
      <c r="D309" s="72"/>
      <c r="E309" s="73"/>
      <c r="F309" s="73"/>
      <c r="G309" s="73"/>
      <c r="H309" s="73"/>
      <c r="I309" s="73"/>
      <c r="J309" s="70"/>
      <c r="K309" s="70"/>
      <c r="L309" s="70"/>
      <c r="M309" s="70"/>
    </row>
    <row r="310" customFormat="false" ht="15" hidden="false" customHeight="false" outlineLevel="0" collapsed="false">
      <c r="A310" s="70" t="s">
        <v>393</v>
      </c>
      <c r="B310" s="71" t="s">
        <v>396</v>
      </c>
      <c r="C310" s="70" t="s">
        <v>172</v>
      </c>
      <c r="D310" s="72" t="s">
        <v>178</v>
      </c>
      <c r="E310" s="73" t="n">
        <v>21</v>
      </c>
      <c r="F310" s="73" t="n">
        <v>21</v>
      </c>
      <c r="G310" s="73" t="n">
        <v>37</v>
      </c>
      <c r="H310" s="73" t="n">
        <v>42</v>
      </c>
      <c r="I310" s="73" t="s">
        <v>253</v>
      </c>
      <c r="J310" s="70"/>
      <c r="K310" s="73" t="n">
        <v>3</v>
      </c>
      <c r="L310" s="70"/>
      <c r="M310" s="70"/>
    </row>
    <row r="311" customFormat="false" ht="15" hidden="false" customHeight="false" outlineLevel="0" collapsed="false">
      <c r="A311" s="70" t="s">
        <v>393</v>
      </c>
      <c r="B311" s="71" t="s">
        <v>396</v>
      </c>
      <c r="C311" s="70" t="s">
        <v>175</v>
      </c>
      <c r="D311" s="72"/>
      <c r="E311" s="73"/>
      <c r="F311" s="73"/>
      <c r="G311" s="73"/>
      <c r="H311" s="73"/>
      <c r="I311" s="73"/>
      <c r="J311" s="70"/>
      <c r="K311" s="70"/>
      <c r="L311" s="70"/>
      <c r="M311" s="70"/>
    </row>
    <row r="312" customFormat="false" ht="15" hidden="false" customHeight="false" outlineLevel="0" collapsed="false">
      <c r="A312" s="70" t="s">
        <v>393</v>
      </c>
      <c r="B312" s="71" t="s">
        <v>397</v>
      </c>
      <c r="C312" s="70" t="s">
        <v>172</v>
      </c>
      <c r="D312" s="72" t="s">
        <v>178</v>
      </c>
      <c r="E312" s="73" t="n">
        <v>97</v>
      </c>
      <c r="F312" s="73" t="n">
        <v>101</v>
      </c>
      <c r="G312" s="73" t="n">
        <v>108</v>
      </c>
      <c r="H312" s="73" t="n">
        <v>146</v>
      </c>
      <c r="I312" s="73" t="s">
        <v>253</v>
      </c>
      <c r="J312" s="73" t="n">
        <v>257</v>
      </c>
      <c r="K312" s="73" t="s">
        <v>174</v>
      </c>
      <c r="L312" s="70"/>
      <c r="M312" s="70"/>
    </row>
    <row r="313" customFormat="false" ht="15" hidden="false" customHeight="false" outlineLevel="0" collapsed="false">
      <c r="A313" s="70" t="s">
        <v>393</v>
      </c>
      <c r="B313" s="71" t="s">
        <v>397</v>
      </c>
      <c r="C313" s="70" t="s">
        <v>175</v>
      </c>
      <c r="D313" s="72"/>
      <c r="E313" s="73"/>
      <c r="F313" s="73"/>
      <c r="G313" s="73"/>
      <c r="H313" s="73"/>
      <c r="I313" s="73"/>
      <c r="J313" s="70"/>
      <c r="K313" s="70"/>
      <c r="L313" s="70"/>
      <c r="M313" s="70"/>
    </row>
    <row r="314" customFormat="false" ht="15" hidden="false" customHeight="false" outlineLevel="0" collapsed="false">
      <c r="A314" s="70" t="s">
        <v>393</v>
      </c>
      <c r="B314" s="71" t="s">
        <v>398</v>
      </c>
      <c r="C314" s="70" t="s">
        <v>172</v>
      </c>
      <c r="D314" s="72" t="s">
        <v>178</v>
      </c>
      <c r="E314" s="73" t="n">
        <v>55</v>
      </c>
      <c r="F314" s="73" t="s">
        <v>399</v>
      </c>
      <c r="G314" s="73" t="n">
        <v>115</v>
      </c>
      <c r="H314" s="73" t="n">
        <v>115</v>
      </c>
      <c r="I314" s="73" t="s">
        <v>253</v>
      </c>
      <c r="J314" s="73" t="n">
        <v>300</v>
      </c>
      <c r="K314" s="73" t="s">
        <v>174</v>
      </c>
      <c r="L314" s="70"/>
      <c r="M314" s="70"/>
    </row>
    <row r="315" customFormat="false" ht="15" hidden="false" customHeight="false" outlineLevel="0" collapsed="false">
      <c r="A315" s="70" t="s">
        <v>393</v>
      </c>
      <c r="B315" s="71" t="s">
        <v>398</v>
      </c>
      <c r="C315" s="70" t="s">
        <v>175</v>
      </c>
      <c r="D315" s="72"/>
      <c r="E315" s="73"/>
      <c r="F315" s="73"/>
      <c r="G315" s="73"/>
      <c r="H315" s="73"/>
      <c r="I315" s="73"/>
      <c r="J315" s="70"/>
      <c r="K315" s="70"/>
      <c r="L315" s="70"/>
      <c r="M315" s="70"/>
    </row>
    <row r="316" customFormat="false" ht="15" hidden="false" customHeight="false" outlineLevel="0" collapsed="false">
      <c r="A316" s="70" t="s">
        <v>393</v>
      </c>
      <c r="B316" s="71" t="s">
        <v>400</v>
      </c>
      <c r="C316" s="70" t="s">
        <v>172</v>
      </c>
      <c r="D316" s="75" t="s">
        <v>178</v>
      </c>
      <c r="E316" s="70" t="n">
        <v>79</v>
      </c>
      <c r="F316" s="70" t="n">
        <v>80</v>
      </c>
      <c r="G316" s="70" t="n">
        <v>80</v>
      </c>
      <c r="H316" s="70" t="n">
        <v>110</v>
      </c>
      <c r="I316" s="73" t="s">
        <v>253</v>
      </c>
      <c r="J316" s="70" t="n">
        <v>130</v>
      </c>
      <c r="K316" s="70"/>
      <c r="L316" s="70"/>
      <c r="M316" s="70"/>
    </row>
    <row r="317" customFormat="false" ht="15" hidden="false" customHeight="false" outlineLevel="0" collapsed="false">
      <c r="A317" s="70" t="s">
        <v>393</v>
      </c>
      <c r="B317" s="71" t="s">
        <v>400</v>
      </c>
      <c r="C317" s="70" t="s">
        <v>175</v>
      </c>
      <c r="D317" s="72"/>
      <c r="E317" s="73"/>
      <c r="F317" s="73"/>
      <c r="G317" s="73"/>
      <c r="H317" s="73"/>
      <c r="I317" s="73"/>
      <c r="J317" s="70"/>
      <c r="K317" s="70"/>
      <c r="L317" s="70"/>
      <c r="M317" s="70"/>
    </row>
    <row r="318" customFormat="false" ht="15" hidden="false" customHeight="false" outlineLevel="0" collapsed="false">
      <c r="A318" s="70" t="s">
        <v>393</v>
      </c>
      <c r="B318" s="71" t="s">
        <v>401</v>
      </c>
      <c r="C318" s="70" t="s">
        <v>172</v>
      </c>
      <c r="D318" s="72" t="s">
        <v>173</v>
      </c>
      <c r="E318" s="73" t="n">
        <v>33</v>
      </c>
      <c r="F318" s="73" t="n">
        <v>33</v>
      </c>
      <c r="G318" s="73" t="n">
        <v>33</v>
      </c>
      <c r="H318" s="73" t="n">
        <v>42</v>
      </c>
      <c r="I318" s="73" t="s">
        <v>253</v>
      </c>
      <c r="J318" s="70"/>
      <c r="K318" s="70"/>
      <c r="L318" s="70"/>
      <c r="M318" s="70"/>
    </row>
    <row r="319" customFormat="false" ht="15" hidden="false" customHeight="false" outlineLevel="0" collapsed="false">
      <c r="A319" s="70" t="s">
        <v>393</v>
      </c>
      <c r="B319" s="71" t="s">
        <v>401</v>
      </c>
      <c r="C319" s="70" t="s">
        <v>175</v>
      </c>
      <c r="D319" s="72"/>
      <c r="E319" s="73"/>
      <c r="F319" s="73"/>
      <c r="G319" s="73"/>
      <c r="H319" s="73"/>
      <c r="I319" s="73"/>
      <c r="J319" s="70"/>
      <c r="K319" s="70"/>
      <c r="L319" s="70"/>
      <c r="M319" s="70"/>
    </row>
    <row r="320" customFormat="false" ht="15" hidden="false" customHeight="false" outlineLevel="0" collapsed="false">
      <c r="A320" s="70" t="s">
        <v>402</v>
      </c>
      <c r="B320" s="71" t="s">
        <v>403</v>
      </c>
      <c r="C320" s="70" t="s">
        <v>172</v>
      </c>
      <c r="D320" s="72" t="s">
        <v>178</v>
      </c>
      <c r="E320" s="73" t="n">
        <v>43</v>
      </c>
      <c r="F320" s="73" t="n">
        <v>41</v>
      </c>
      <c r="G320" s="73" t="n">
        <v>37</v>
      </c>
      <c r="H320" s="73" t="n">
        <v>35</v>
      </c>
      <c r="I320" s="73" t="s">
        <v>253</v>
      </c>
      <c r="J320" s="70"/>
      <c r="K320" s="73" t="n">
        <v>5</v>
      </c>
      <c r="L320" s="70"/>
      <c r="M320" s="70"/>
    </row>
    <row r="321" customFormat="false" ht="15" hidden="false" customHeight="false" outlineLevel="0" collapsed="false">
      <c r="A321" s="70" t="s">
        <v>402</v>
      </c>
      <c r="B321" s="71" t="s">
        <v>403</v>
      </c>
      <c r="C321" s="70" t="s">
        <v>175</v>
      </c>
      <c r="D321" s="72"/>
      <c r="E321" s="73"/>
      <c r="F321" s="73"/>
      <c r="G321" s="73"/>
      <c r="H321" s="73"/>
      <c r="I321" s="73"/>
      <c r="J321" s="70"/>
      <c r="K321" s="70"/>
      <c r="L321" s="70"/>
      <c r="M321" s="70"/>
    </row>
    <row r="322" customFormat="false" ht="15" hidden="false" customHeight="false" outlineLevel="0" collapsed="false">
      <c r="A322" s="70" t="s">
        <v>402</v>
      </c>
      <c r="B322" s="71" t="s">
        <v>404</v>
      </c>
      <c r="C322" s="70" t="s">
        <v>172</v>
      </c>
      <c r="D322" s="72" t="s">
        <v>178</v>
      </c>
      <c r="E322" s="73" t="n">
        <v>27</v>
      </c>
      <c r="F322" s="73" t="n">
        <v>30</v>
      </c>
      <c r="G322" s="73" t="n">
        <v>30</v>
      </c>
      <c r="H322" s="73"/>
      <c r="I322" s="73"/>
      <c r="J322" s="70"/>
      <c r="K322" s="70"/>
      <c r="L322" s="70"/>
      <c r="M322" s="70"/>
    </row>
    <row r="323" customFormat="false" ht="15" hidden="false" customHeight="false" outlineLevel="0" collapsed="false">
      <c r="A323" s="70" t="s">
        <v>402</v>
      </c>
      <c r="B323" s="71" t="s">
        <v>404</v>
      </c>
      <c r="C323" s="70" t="s">
        <v>175</v>
      </c>
      <c r="D323" s="72"/>
      <c r="E323" s="73"/>
      <c r="F323" s="73"/>
      <c r="G323" s="73"/>
      <c r="H323" s="73"/>
      <c r="I323" s="73"/>
      <c r="J323" s="70"/>
      <c r="K323" s="70"/>
      <c r="L323" s="70"/>
      <c r="M323" s="70"/>
    </row>
    <row r="324" customFormat="false" ht="15" hidden="false" customHeight="false" outlineLevel="0" collapsed="false">
      <c r="A324" s="70" t="s">
        <v>402</v>
      </c>
      <c r="B324" s="71" t="s">
        <v>405</v>
      </c>
      <c r="C324" s="70" t="s">
        <v>172</v>
      </c>
      <c r="D324" s="72" t="s">
        <v>178</v>
      </c>
      <c r="E324" s="73"/>
      <c r="F324" s="73"/>
      <c r="G324" s="73"/>
      <c r="H324" s="73"/>
      <c r="I324" s="73"/>
      <c r="J324" s="70" t="n">
        <v>125</v>
      </c>
      <c r="K324" s="70"/>
      <c r="L324" s="70"/>
      <c r="M324" s="70"/>
    </row>
    <row r="325" customFormat="false" ht="15" hidden="false" customHeight="false" outlineLevel="0" collapsed="false">
      <c r="A325" s="70" t="s">
        <v>402</v>
      </c>
      <c r="B325" s="71" t="s">
        <v>405</v>
      </c>
      <c r="C325" s="70" t="s">
        <v>175</v>
      </c>
      <c r="D325" s="72"/>
      <c r="E325" s="73"/>
      <c r="F325" s="73"/>
      <c r="G325" s="73"/>
      <c r="H325" s="73"/>
      <c r="I325" s="73"/>
      <c r="J325" s="70"/>
      <c r="K325" s="70"/>
      <c r="L325" s="70"/>
      <c r="M325" s="70"/>
    </row>
    <row r="326" customFormat="false" ht="15" hidden="false" customHeight="false" outlineLevel="0" collapsed="false">
      <c r="A326" s="70" t="s">
        <v>402</v>
      </c>
      <c r="B326" s="71" t="s">
        <v>406</v>
      </c>
      <c r="C326" s="70" t="s">
        <v>172</v>
      </c>
      <c r="D326" s="72" t="s">
        <v>178</v>
      </c>
      <c r="E326" s="73" t="n">
        <v>45</v>
      </c>
      <c r="F326" s="73" t="n">
        <v>48</v>
      </c>
      <c r="G326" s="73" t="n">
        <v>48</v>
      </c>
      <c r="H326" s="73" t="n">
        <v>50</v>
      </c>
      <c r="I326" s="73" t="s">
        <v>253</v>
      </c>
      <c r="J326" s="70"/>
      <c r="K326" s="70"/>
      <c r="L326" s="70"/>
      <c r="M326" s="70"/>
    </row>
    <row r="327" customFormat="false" ht="15" hidden="false" customHeight="false" outlineLevel="0" collapsed="false">
      <c r="A327" s="70" t="s">
        <v>402</v>
      </c>
      <c r="B327" s="71" t="s">
        <v>406</v>
      </c>
      <c r="C327" s="70" t="s">
        <v>175</v>
      </c>
      <c r="D327" s="72"/>
      <c r="E327" s="73"/>
      <c r="F327" s="73"/>
      <c r="G327" s="73"/>
      <c r="H327" s="73"/>
      <c r="I327" s="73"/>
      <c r="J327" s="70"/>
      <c r="K327" s="70"/>
      <c r="L327" s="70"/>
      <c r="M327" s="70"/>
    </row>
    <row r="328" customFormat="false" ht="15" hidden="false" customHeight="false" outlineLevel="0" collapsed="false">
      <c r="A328" s="70" t="s">
        <v>402</v>
      </c>
      <c r="B328" s="71" t="s">
        <v>407</v>
      </c>
      <c r="C328" s="70" t="s">
        <v>172</v>
      </c>
      <c r="D328" s="72" t="s">
        <v>178</v>
      </c>
      <c r="E328" s="73" t="n">
        <v>47</v>
      </c>
      <c r="F328" s="73" t="n">
        <v>47</v>
      </c>
      <c r="G328" s="73" t="n">
        <v>57</v>
      </c>
      <c r="H328" s="73" t="n">
        <v>70</v>
      </c>
      <c r="I328" s="73" t="s">
        <v>253</v>
      </c>
      <c r="J328" s="70"/>
      <c r="K328" s="70"/>
      <c r="L328" s="70"/>
      <c r="M328" s="70"/>
    </row>
    <row r="329" customFormat="false" ht="15" hidden="false" customHeight="false" outlineLevel="0" collapsed="false">
      <c r="A329" s="70" t="s">
        <v>402</v>
      </c>
      <c r="B329" s="71" t="s">
        <v>407</v>
      </c>
      <c r="C329" s="70" t="s">
        <v>175</v>
      </c>
      <c r="D329" s="72"/>
      <c r="E329" s="73"/>
      <c r="F329" s="73"/>
      <c r="G329" s="73"/>
      <c r="H329" s="73"/>
      <c r="I329" s="73"/>
      <c r="J329" s="70"/>
      <c r="K329" s="70"/>
      <c r="L329" s="70"/>
      <c r="M329" s="70"/>
    </row>
    <row r="330" customFormat="false" ht="15" hidden="false" customHeight="false" outlineLevel="0" collapsed="false">
      <c r="A330" s="70" t="s">
        <v>408</v>
      </c>
      <c r="B330" s="71" t="s">
        <v>409</v>
      </c>
      <c r="C330" s="70" t="s">
        <v>172</v>
      </c>
      <c r="D330" s="72" t="s">
        <v>178</v>
      </c>
      <c r="E330" s="73" t="n">
        <v>27</v>
      </c>
      <c r="F330" s="73" t="n">
        <v>30</v>
      </c>
      <c r="G330" s="73" t="n">
        <v>30</v>
      </c>
      <c r="H330" s="73" t="n">
        <v>30</v>
      </c>
      <c r="I330" s="73" t="s">
        <v>253</v>
      </c>
      <c r="J330" s="70"/>
      <c r="K330" s="70"/>
      <c r="L330" s="70"/>
      <c r="M330" s="70"/>
    </row>
    <row r="331" customFormat="false" ht="15" hidden="false" customHeight="false" outlineLevel="0" collapsed="false">
      <c r="A331" s="70" t="s">
        <v>408</v>
      </c>
      <c r="B331" s="71" t="s">
        <v>409</v>
      </c>
      <c r="C331" s="70" t="s">
        <v>175</v>
      </c>
      <c r="D331" s="72"/>
      <c r="E331" s="73"/>
      <c r="F331" s="73"/>
      <c r="G331" s="73"/>
      <c r="H331" s="73"/>
      <c r="I331" s="73"/>
      <c r="J331" s="70"/>
      <c r="K331" s="70"/>
      <c r="L331" s="70"/>
      <c r="M331" s="70"/>
    </row>
    <row r="332" customFormat="false" ht="15" hidden="false" customHeight="false" outlineLevel="0" collapsed="false">
      <c r="A332" s="70" t="s">
        <v>408</v>
      </c>
      <c r="B332" s="71" t="s">
        <v>410</v>
      </c>
      <c r="C332" s="70" t="s">
        <v>172</v>
      </c>
      <c r="D332" s="72" t="s">
        <v>178</v>
      </c>
      <c r="E332" s="73" t="n">
        <v>40</v>
      </c>
      <c r="F332" s="73" t="n">
        <v>41</v>
      </c>
      <c r="G332" s="73" t="n">
        <v>41</v>
      </c>
      <c r="H332" s="73" t="n">
        <v>42.5</v>
      </c>
      <c r="I332" s="73" t="s">
        <v>253</v>
      </c>
      <c r="J332" s="70"/>
      <c r="K332" s="73" t="s">
        <v>174</v>
      </c>
      <c r="L332" s="70"/>
      <c r="M332" s="70"/>
    </row>
    <row r="333" customFormat="false" ht="15" hidden="false" customHeight="false" outlineLevel="0" collapsed="false">
      <c r="A333" s="70" t="s">
        <v>408</v>
      </c>
      <c r="B333" s="71" t="s">
        <v>410</v>
      </c>
      <c r="C333" s="70" t="s">
        <v>175</v>
      </c>
      <c r="D333" s="72"/>
      <c r="E333" s="73"/>
      <c r="F333" s="73"/>
      <c r="G333" s="73"/>
      <c r="H333" s="73"/>
      <c r="I333" s="73"/>
      <c r="J333" s="70"/>
      <c r="K333" s="70"/>
      <c r="L333" s="70"/>
      <c r="M333" s="70"/>
    </row>
    <row r="334" customFormat="false" ht="15" hidden="false" customHeight="false" outlineLevel="0" collapsed="false">
      <c r="A334" s="70" t="s">
        <v>408</v>
      </c>
      <c r="B334" s="71" t="s">
        <v>411</v>
      </c>
      <c r="C334" s="70" t="s">
        <v>172</v>
      </c>
      <c r="D334" s="72" t="s">
        <v>178</v>
      </c>
      <c r="E334" s="73" t="n">
        <v>40</v>
      </c>
      <c r="F334" s="73" t="n">
        <v>45</v>
      </c>
      <c r="G334" s="73" t="n">
        <v>45</v>
      </c>
      <c r="H334" s="73" t="n">
        <v>48.5</v>
      </c>
      <c r="I334" s="73" t="s">
        <v>253</v>
      </c>
      <c r="J334" s="70"/>
      <c r="K334" s="73" t="s">
        <v>174</v>
      </c>
      <c r="L334" s="70"/>
      <c r="M334" s="70"/>
    </row>
    <row r="335" customFormat="false" ht="15" hidden="false" customHeight="false" outlineLevel="0" collapsed="false">
      <c r="A335" s="70" t="s">
        <v>408</v>
      </c>
      <c r="B335" s="71" t="s">
        <v>411</v>
      </c>
      <c r="C335" s="70" t="s">
        <v>175</v>
      </c>
      <c r="D335" s="72"/>
      <c r="E335" s="73"/>
      <c r="F335" s="73"/>
      <c r="G335" s="73"/>
      <c r="H335" s="73"/>
      <c r="I335" s="73"/>
      <c r="J335" s="70"/>
      <c r="K335" s="70"/>
      <c r="L335" s="70"/>
      <c r="M335" s="70"/>
    </row>
    <row r="336" customFormat="false" ht="15" hidden="false" customHeight="false" outlineLevel="0" collapsed="false">
      <c r="A336" s="70" t="s">
        <v>412</v>
      </c>
      <c r="B336" s="71" t="s">
        <v>413</v>
      </c>
      <c r="C336" s="70" t="s">
        <v>172</v>
      </c>
      <c r="D336" s="72" t="s">
        <v>178</v>
      </c>
      <c r="E336" s="73" t="n">
        <v>20</v>
      </c>
      <c r="F336" s="73" t="n">
        <v>25</v>
      </c>
      <c r="G336" s="73" t="n">
        <v>25</v>
      </c>
      <c r="H336" s="73" t="n">
        <v>35</v>
      </c>
      <c r="I336" s="73" t="s">
        <v>253</v>
      </c>
      <c r="J336" s="70"/>
      <c r="K336" s="70"/>
      <c r="L336" s="70"/>
      <c r="M336" s="70"/>
    </row>
    <row r="337" customFormat="false" ht="15" hidden="false" customHeight="false" outlineLevel="0" collapsed="false">
      <c r="A337" s="70" t="s">
        <v>412</v>
      </c>
      <c r="B337" s="71" t="s">
        <v>413</v>
      </c>
      <c r="C337" s="70" t="s">
        <v>175</v>
      </c>
      <c r="D337" s="72"/>
      <c r="E337" s="73"/>
      <c r="F337" s="73"/>
      <c r="G337" s="73"/>
      <c r="H337" s="73"/>
      <c r="I337" s="73"/>
      <c r="J337" s="70"/>
      <c r="K337" s="70"/>
      <c r="L337" s="70"/>
      <c r="M337" s="70"/>
    </row>
    <row r="338" customFormat="false" ht="15" hidden="false" customHeight="false" outlineLevel="0" collapsed="false">
      <c r="A338" s="70" t="s">
        <v>414</v>
      </c>
      <c r="B338" s="71" t="s">
        <v>415</v>
      </c>
      <c r="C338" s="70" t="s">
        <v>172</v>
      </c>
      <c r="D338" s="72" t="s">
        <v>178</v>
      </c>
      <c r="E338" s="73" t="n">
        <v>142</v>
      </c>
      <c r="F338" s="73" t="n">
        <v>283</v>
      </c>
      <c r="G338" s="73" t="n">
        <v>378</v>
      </c>
      <c r="H338" s="73" t="n">
        <v>378</v>
      </c>
      <c r="I338" s="73" t="s">
        <v>253</v>
      </c>
      <c r="J338" s="73" t="n">
        <v>578</v>
      </c>
      <c r="K338" s="73" t="s">
        <v>174</v>
      </c>
      <c r="L338" s="70"/>
      <c r="M338" s="73" t="s">
        <v>174</v>
      </c>
    </row>
    <row r="339" customFormat="false" ht="15" hidden="false" customHeight="false" outlineLevel="0" collapsed="false">
      <c r="A339" s="70" t="s">
        <v>414</v>
      </c>
      <c r="B339" s="71" t="s">
        <v>415</v>
      </c>
      <c r="C339" s="70" t="s">
        <v>175</v>
      </c>
      <c r="D339" s="72"/>
      <c r="E339" s="73"/>
      <c r="F339" s="73"/>
      <c r="G339" s="73"/>
      <c r="H339" s="73"/>
      <c r="I339" s="73"/>
      <c r="J339" s="70"/>
      <c r="K339" s="70"/>
      <c r="L339" s="70"/>
      <c r="M339" s="70"/>
    </row>
    <row r="340" customFormat="false" ht="15" hidden="false" customHeight="false" outlineLevel="0" collapsed="false">
      <c r="A340" s="70" t="s">
        <v>414</v>
      </c>
      <c r="B340" s="71" t="s">
        <v>416</v>
      </c>
      <c r="C340" s="70" t="s">
        <v>172</v>
      </c>
      <c r="D340" s="72" t="s">
        <v>178</v>
      </c>
      <c r="E340" s="73" t="n">
        <v>56</v>
      </c>
      <c r="F340" s="73" t="n">
        <v>68</v>
      </c>
      <c r="G340" s="73" t="n">
        <v>77</v>
      </c>
      <c r="H340" s="73" t="n">
        <v>58</v>
      </c>
      <c r="I340" s="73" t="s">
        <v>253</v>
      </c>
      <c r="J340" s="73" t="n">
        <v>94</v>
      </c>
      <c r="K340" s="73" t="s">
        <v>174</v>
      </c>
      <c r="L340" s="70"/>
      <c r="M340" s="70"/>
    </row>
    <row r="341" customFormat="false" ht="15" hidden="false" customHeight="false" outlineLevel="0" collapsed="false">
      <c r="A341" s="70" t="s">
        <v>414</v>
      </c>
      <c r="B341" s="71" t="s">
        <v>416</v>
      </c>
      <c r="C341" s="70" t="s">
        <v>175</v>
      </c>
      <c r="D341" s="72"/>
      <c r="E341" s="73"/>
      <c r="F341" s="73"/>
      <c r="G341" s="73"/>
      <c r="H341" s="73"/>
      <c r="I341" s="73"/>
      <c r="J341" s="70"/>
      <c r="K341" s="70"/>
      <c r="L341" s="70"/>
      <c r="M341" s="70"/>
    </row>
    <row r="342" customFormat="false" ht="15" hidden="false" customHeight="false" outlineLevel="0" collapsed="false">
      <c r="A342" s="70" t="s">
        <v>414</v>
      </c>
      <c r="B342" s="71" t="s">
        <v>417</v>
      </c>
      <c r="C342" s="70" t="s">
        <v>172</v>
      </c>
      <c r="D342" s="72" t="s">
        <v>178</v>
      </c>
      <c r="E342" s="73" t="n">
        <v>58</v>
      </c>
      <c r="F342" s="73" t="n">
        <v>58</v>
      </c>
      <c r="G342" s="73" t="n">
        <v>58</v>
      </c>
      <c r="H342" s="73" t="n">
        <v>85</v>
      </c>
      <c r="I342" s="73" t="s">
        <v>253</v>
      </c>
      <c r="J342" s="73" t="n">
        <v>116</v>
      </c>
      <c r="K342" s="73" t="n">
        <v>6</v>
      </c>
      <c r="L342" s="70"/>
      <c r="M342" s="70"/>
    </row>
    <row r="343" customFormat="false" ht="15" hidden="false" customHeight="false" outlineLevel="0" collapsed="false">
      <c r="A343" s="70" t="s">
        <v>414</v>
      </c>
      <c r="B343" s="71" t="s">
        <v>417</v>
      </c>
      <c r="C343" s="70" t="s">
        <v>175</v>
      </c>
      <c r="D343" s="72"/>
      <c r="E343" s="73"/>
      <c r="F343" s="73"/>
      <c r="G343" s="73"/>
      <c r="H343" s="73"/>
      <c r="I343" s="73"/>
      <c r="J343" s="70"/>
      <c r="K343" s="70"/>
      <c r="L343" s="70"/>
      <c r="M343" s="70"/>
    </row>
    <row r="344" customFormat="false" ht="15" hidden="false" customHeight="false" outlineLevel="0" collapsed="false">
      <c r="A344" s="70" t="s">
        <v>414</v>
      </c>
      <c r="B344" s="71" t="s">
        <v>418</v>
      </c>
      <c r="C344" s="70" t="s">
        <v>172</v>
      </c>
      <c r="D344" s="72" t="s">
        <v>178</v>
      </c>
      <c r="E344" s="73" t="n">
        <v>60</v>
      </c>
      <c r="F344" s="73" t="n">
        <v>62</v>
      </c>
      <c r="G344" s="73" t="n">
        <v>67</v>
      </c>
      <c r="H344" s="73" t="n">
        <v>77</v>
      </c>
      <c r="I344" s="73" t="s">
        <v>253</v>
      </c>
      <c r="J344" s="73" t="n">
        <v>88</v>
      </c>
      <c r="K344" s="73" t="n">
        <v>6</v>
      </c>
      <c r="L344" s="70"/>
      <c r="M344" s="70"/>
    </row>
    <row r="345" customFormat="false" ht="15" hidden="false" customHeight="false" outlineLevel="0" collapsed="false">
      <c r="A345" s="70" t="s">
        <v>414</v>
      </c>
      <c r="B345" s="71" t="s">
        <v>418</v>
      </c>
      <c r="C345" s="70" t="s">
        <v>175</v>
      </c>
      <c r="D345" s="72"/>
      <c r="E345" s="73"/>
      <c r="F345" s="73"/>
      <c r="G345" s="73"/>
      <c r="H345" s="73"/>
      <c r="I345" s="73"/>
      <c r="J345" s="70"/>
      <c r="K345" s="70"/>
      <c r="L345" s="70"/>
      <c r="M345" s="70"/>
    </row>
    <row r="346" customFormat="false" ht="15" hidden="false" customHeight="false" outlineLevel="0" collapsed="false">
      <c r="A346" s="70" t="s">
        <v>414</v>
      </c>
      <c r="B346" s="71" t="s">
        <v>419</v>
      </c>
      <c r="C346" s="70" t="s">
        <v>172</v>
      </c>
      <c r="D346" s="72" t="s">
        <v>178</v>
      </c>
      <c r="E346" s="73" t="n">
        <v>38</v>
      </c>
      <c r="F346" s="73" t="n">
        <v>55</v>
      </c>
      <c r="G346" s="73" t="n">
        <v>103</v>
      </c>
      <c r="H346" s="73" t="n">
        <v>113</v>
      </c>
      <c r="I346" s="73" t="s">
        <v>253</v>
      </c>
      <c r="J346" s="70"/>
      <c r="K346" s="73" t="n">
        <v>7</v>
      </c>
      <c r="L346" s="70"/>
      <c r="M346" s="70"/>
    </row>
    <row r="347" customFormat="false" ht="15" hidden="false" customHeight="false" outlineLevel="0" collapsed="false">
      <c r="A347" s="70" t="s">
        <v>414</v>
      </c>
      <c r="B347" s="71" t="s">
        <v>419</v>
      </c>
      <c r="C347" s="70" t="s">
        <v>175</v>
      </c>
      <c r="D347" s="72"/>
      <c r="E347" s="73"/>
      <c r="F347" s="73"/>
      <c r="G347" s="73"/>
      <c r="H347" s="73"/>
      <c r="I347" s="73"/>
      <c r="J347" s="70"/>
      <c r="K347" s="70"/>
      <c r="L347" s="70"/>
      <c r="M347" s="70"/>
    </row>
    <row r="348" customFormat="false" ht="15" hidden="false" customHeight="false" outlineLevel="0" collapsed="false">
      <c r="A348" s="70" t="s">
        <v>414</v>
      </c>
      <c r="B348" s="71" t="s">
        <v>420</v>
      </c>
      <c r="C348" s="70" t="s">
        <v>172</v>
      </c>
      <c r="D348" s="72" t="s">
        <v>178</v>
      </c>
      <c r="E348" s="73" t="n">
        <v>75</v>
      </c>
      <c r="F348" s="73" t="n">
        <v>95</v>
      </c>
      <c r="G348" s="73" t="n">
        <v>106</v>
      </c>
      <c r="H348" s="73" t="n">
        <v>125</v>
      </c>
      <c r="I348" s="73" t="s">
        <v>253</v>
      </c>
      <c r="J348" s="73" t="n">
        <v>150</v>
      </c>
      <c r="K348" s="73" t="s">
        <v>174</v>
      </c>
      <c r="L348" s="70"/>
      <c r="M348" s="70"/>
    </row>
    <row r="349" customFormat="false" ht="15" hidden="false" customHeight="false" outlineLevel="0" collapsed="false">
      <c r="A349" s="70" t="s">
        <v>414</v>
      </c>
      <c r="B349" s="71" t="s">
        <v>420</v>
      </c>
      <c r="C349" s="70" t="s">
        <v>175</v>
      </c>
      <c r="D349" s="72"/>
      <c r="E349" s="73"/>
      <c r="F349" s="73"/>
      <c r="G349" s="73"/>
      <c r="H349" s="73"/>
      <c r="I349" s="73"/>
      <c r="J349" s="70"/>
      <c r="K349" s="70"/>
      <c r="L349" s="70"/>
      <c r="M349" s="70"/>
    </row>
    <row r="350" customFormat="false" ht="15" hidden="false" customHeight="false" outlineLevel="0" collapsed="false">
      <c r="A350" s="70" t="s">
        <v>414</v>
      </c>
      <c r="B350" s="71" t="s">
        <v>421</v>
      </c>
      <c r="C350" s="70" t="s">
        <v>172</v>
      </c>
      <c r="D350" s="72" t="s">
        <v>178</v>
      </c>
      <c r="E350" s="73" t="n">
        <v>112</v>
      </c>
      <c r="F350" s="73" t="n">
        <v>144</v>
      </c>
      <c r="G350" s="73" t="n">
        <v>144</v>
      </c>
      <c r="H350" s="73" t="n">
        <v>144</v>
      </c>
      <c r="I350" s="73" t="s">
        <v>253</v>
      </c>
      <c r="J350" s="73" t="n">
        <v>164</v>
      </c>
      <c r="K350" s="73" t="s">
        <v>174</v>
      </c>
      <c r="L350" s="70"/>
      <c r="M350" s="70"/>
    </row>
    <row r="351" customFormat="false" ht="15" hidden="false" customHeight="false" outlineLevel="0" collapsed="false">
      <c r="A351" s="70" t="s">
        <v>414</v>
      </c>
      <c r="B351" s="71"/>
      <c r="C351" s="70" t="s">
        <v>175</v>
      </c>
      <c r="D351" s="72"/>
      <c r="E351" s="73"/>
      <c r="F351" s="73"/>
      <c r="G351" s="73"/>
      <c r="H351" s="73"/>
      <c r="I351" s="73"/>
      <c r="J351" s="70"/>
      <c r="K351" s="70"/>
      <c r="L351" s="70"/>
      <c r="M351" s="70"/>
    </row>
    <row r="352" customFormat="false" ht="15" hidden="false" customHeight="false" outlineLevel="0" collapsed="false">
      <c r="A352" s="70" t="s">
        <v>414</v>
      </c>
      <c r="B352" s="71" t="s">
        <v>422</v>
      </c>
      <c r="C352" s="70" t="s">
        <v>172</v>
      </c>
      <c r="D352" s="72" t="s">
        <v>178</v>
      </c>
      <c r="E352" s="73" t="n">
        <v>51</v>
      </c>
      <c r="F352" s="73" t="n">
        <v>57</v>
      </c>
      <c r="G352" s="73" t="n">
        <v>57</v>
      </c>
      <c r="H352" s="73"/>
      <c r="I352" s="73"/>
      <c r="J352" s="70"/>
      <c r="K352" s="70" t="n">
        <v>7</v>
      </c>
      <c r="L352" s="70"/>
      <c r="M352" s="70"/>
    </row>
    <row r="353" customFormat="false" ht="15" hidden="false" customHeight="false" outlineLevel="0" collapsed="false">
      <c r="A353" s="70" t="s">
        <v>414</v>
      </c>
      <c r="B353" s="71"/>
      <c r="C353" s="70" t="s">
        <v>175</v>
      </c>
      <c r="D353" s="72"/>
      <c r="E353" s="73"/>
      <c r="F353" s="73"/>
      <c r="G353" s="73"/>
      <c r="H353" s="73"/>
      <c r="I353" s="73"/>
      <c r="J353" s="70"/>
      <c r="K353" s="70"/>
      <c r="L353" s="70"/>
      <c r="M353" s="70"/>
    </row>
    <row r="354" customFormat="false" ht="15" hidden="false" customHeight="false" outlineLevel="0" collapsed="false">
      <c r="A354" s="70" t="s">
        <v>414</v>
      </c>
      <c r="B354" s="71" t="s">
        <v>423</v>
      </c>
      <c r="C354" s="70" t="s">
        <v>172</v>
      </c>
      <c r="D354" s="72" t="s">
        <v>178</v>
      </c>
      <c r="E354" s="73" t="n">
        <v>103</v>
      </c>
      <c r="F354" s="73" t="n">
        <v>128</v>
      </c>
      <c r="G354" s="73"/>
      <c r="H354" s="73" t="n">
        <v>172</v>
      </c>
      <c r="I354" s="73"/>
      <c r="J354" s="70"/>
      <c r="K354" s="73" t="s">
        <v>174</v>
      </c>
      <c r="L354" s="70"/>
      <c r="M354" s="70"/>
    </row>
    <row r="355" customFormat="false" ht="15" hidden="false" customHeight="false" outlineLevel="0" collapsed="false">
      <c r="A355" s="70" t="s">
        <v>414</v>
      </c>
      <c r="B355" s="71"/>
      <c r="C355" s="70" t="s">
        <v>175</v>
      </c>
      <c r="D355" s="72"/>
      <c r="E355" s="73"/>
      <c r="F355" s="73"/>
      <c r="G355" s="73"/>
      <c r="H355" s="73"/>
      <c r="I355" s="73"/>
      <c r="J355" s="70"/>
      <c r="K355" s="70"/>
      <c r="L355" s="70"/>
      <c r="M355" s="70"/>
    </row>
    <row r="356" customFormat="false" ht="15" hidden="false" customHeight="false" outlineLevel="0" collapsed="false">
      <c r="A356" s="70" t="s">
        <v>414</v>
      </c>
      <c r="B356" s="71" t="s">
        <v>424</v>
      </c>
      <c r="C356" s="70" t="s">
        <v>172</v>
      </c>
      <c r="D356" s="72" t="s">
        <v>178</v>
      </c>
      <c r="E356" s="73" t="n">
        <v>20</v>
      </c>
      <c r="F356" s="73" t="n">
        <v>22</v>
      </c>
      <c r="G356" s="73" t="n">
        <v>24</v>
      </c>
      <c r="H356" s="73"/>
      <c r="I356" s="73" t="s">
        <v>241</v>
      </c>
      <c r="J356" s="70"/>
      <c r="K356" s="70"/>
      <c r="L356" s="70"/>
      <c r="M356" s="70"/>
    </row>
    <row r="357" customFormat="false" ht="15" hidden="false" customHeight="false" outlineLevel="0" collapsed="false">
      <c r="A357" s="70" t="s">
        <v>414</v>
      </c>
      <c r="B357" s="71"/>
      <c r="C357" s="70" t="s">
        <v>175</v>
      </c>
      <c r="D357" s="72"/>
      <c r="E357" s="73"/>
      <c r="F357" s="73"/>
      <c r="G357" s="73"/>
      <c r="H357" s="73"/>
      <c r="I357" s="73"/>
      <c r="J357" s="70"/>
      <c r="K357" s="70"/>
      <c r="L357" s="70"/>
      <c r="M357" s="70"/>
    </row>
    <row r="358" customFormat="false" ht="15" hidden="false" customHeight="false" outlineLevel="0" collapsed="false">
      <c r="A358" s="70" t="s">
        <v>414</v>
      </c>
      <c r="B358" s="71" t="s">
        <v>425</v>
      </c>
      <c r="C358" s="70" t="s">
        <v>172</v>
      </c>
      <c r="D358" s="72" t="s">
        <v>178</v>
      </c>
      <c r="E358" s="73" t="n">
        <v>65</v>
      </c>
      <c r="F358" s="73" t="n">
        <v>71</v>
      </c>
      <c r="G358" s="73" t="n">
        <v>73</v>
      </c>
      <c r="H358" s="73" t="n">
        <v>89</v>
      </c>
      <c r="I358" s="73" t="s">
        <v>253</v>
      </c>
      <c r="J358" s="70"/>
      <c r="K358" s="70"/>
      <c r="L358" s="70"/>
      <c r="M358" s="70"/>
    </row>
    <row r="359" customFormat="false" ht="15" hidden="false" customHeight="false" outlineLevel="0" collapsed="false">
      <c r="A359" s="70" t="s">
        <v>414</v>
      </c>
      <c r="B359" s="71"/>
      <c r="C359" s="70" t="s">
        <v>175</v>
      </c>
      <c r="D359" s="72"/>
      <c r="E359" s="73"/>
      <c r="F359" s="73"/>
      <c r="G359" s="73"/>
      <c r="H359" s="73"/>
      <c r="I359" s="73"/>
      <c r="J359" s="70"/>
      <c r="K359" s="70"/>
      <c r="L359" s="70"/>
      <c r="M359" s="70"/>
    </row>
    <row r="360" customFormat="false" ht="15" hidden="false" customHeight="false" outlineLevel="0" collapsed="false">
      <c r="A360" s="70" t="s">
        <v>426</v>
      </c>
      <c r="B360" s="71" t="s">
        <v>427</v>
      </c>
      <c r="C360" s="70" t="s">
        <v>172</v>
      </c>
      <c r="D360" s="72" t="s">
        <v>178</v>
      </c>
      <c r="E360" s="73" t="n">
        <v>49</v>
      </c>
      <c r="F360" s="73" t="n">
        <v>54</v>
      </c>
      <c r="G360" s="73" t="n">
        <v>54</v>
      </c>
      <c r="H360" s="73" t="n">
        <v>54</v>
      </c>
      <c r="I360" s="73" t="s">
        <v>253</v>
      </c>
      <c r="J360" s="70"/>
      <c r="K360" s="73" t="n">
        <v>10</v>
      </c>
      <c r="L360" s="70"/>
      <c r="M360" s="70"/>
    </row>
    <row r="361" customFormat="false" ht="15" hidden="false" customHeight="false" outlineLevel="0" collapsed="false">
      <c r="A361" s="70" t="s">
        <v>426</v>
      </c>
      <c r="B361" s="71"/>
      <c r="C361" s="70" t="s">
        <v>175</v>
      </c>
      <c r="D361" s="72"/>
      <c r="E361" s="73"/>
      <c r="F361" s="73"/>
      <c r="G361" s="73"/>
      <c r="H361" s="73"/>
      <c r="I361" s="73"/>
      <c r="J361" s="70"/>
      <c r="K361" s="70"/>
      <c r="L361" s="70"/>
      <c r="M361" s="70"/>
    </row>
    <row r="362" customFormat="false" ht="15" hidden="false" customHeight="false" outlineLevel="0" collapsed="false">
      <c r="A362" s="70" t="s">
        <v>426</v>
      </c>
      <c r="B362" s="71" t="s">
        <v>428</v>
      </c>
      <c r="C362" s="70" t="s">
        <v>172</v>
      </c>
      <c r="D362" s="72" t="s">
        <v>178</v>
      </c>
      <c r="E362" s="73" t="n">
        <v>27</v>
      </c>
      <c r="F362" s="73" t="n">
        <v>30</v>
      </c>
      <c r="G362" s="73" t="n">
        <v>20</v>
      </c>
      <c r="H362" s="73"/>
      <c r="I362" s="73" t="s">
        <v>241</v>
      </c>
      <c r="J362" s="70"/>
      <c r="K362" s="70" t="n">
        <v>5</v>
      </c>
      <c r="L362" s="70"/>
      <c r="M362" s="70"/>
    </row>
    <row r="363" customFormat="false" ht="15" hidden="false" customHeight="false" outlineLevel="0" collapsed="false">
      <c r="A363" s="70" t="s">
        <v>426</v>
      </c>
      <c r="B363" s="71"/>
      <c r="C363" s="70" t="s">
        <v>175</v>
      </c>
      <c r="D363" s="72"/>
      <c r="E363" s="73"/>
      <c r="F363" s="73"/>
      <c r="G363" s="73"/>
      <c r="H363" s="73"/>
      <c r="I363" s="73"/>
      <c r="J363" s="70"/>
      <c r="K363" s="70"/>
      <c r="L363" s="70"/>
      <c r="M363" s="70"/>
    </row>
    <row r="364" customFormat="false" ht="15" hidden="false" customHeight="false" outlineLevel="0" collapsed="false">
      <c r="A364" s="70" t="s">
        <v>426</v>
      </c>
      <c r="B364" s="71" t="s">
        <v>429</v>
      </c>
      <c r="C364" s="70" t="s">
        <v>172</v>
      </c>
      <c r="D364" s="72" t="s">
        <v>196</v>
      </c>
      <c r="E364" s="73" t="n">
        <v>150000</v>
      </c>
      <c r="F364" s="73" t="n">
        <v>150000</v>
      </c>
      <c r="G364" s="73" t="n">
        <v>150000</v>
      </c>
      <c r="H364" s="73" t="n">
        <v>200000</v>
      </c>
      <c r="I364" s="73" t="s">
        <v>253</v>
      </c>
      <c r="J364" s="70"/>
      <c r="K364" s="70"/>
      <c r="L364" s="70"/>
      <c r="M364" s="70"/>
    </row>
    <row r="365" customFormat="false" ht="15" hidden="false" customHeight="false" outlineLevel="0" collapsed="false">
      <c r="A365" s="70" t="s">
        <v>426</v>
      </c>
      <c r="B365" s="71"/>
      <c r="C365" s="70" t="s">
        <v>175</v>
      </c>
      <c r="D365" s="72"/>
      <c r="E365" s="73"/>
      <c r="F365" s="73"/>
      <c r="G365" s="73"/>
      <c r="H365" s="73"/>
      <c r="I365" s="73"/>
      <c r="J365" s="70"/>
      <c r="K365" s="70"/>
      <c r="L365" s="70"/>
      <c r="M365" s="70"/>
    </row>
    <row r="366" customFormat="false" ht="15" hidden="false" customHeight="false" outlineLevel="0" collapsed="false">
      <c r="A366" s="70" t="s">
        <v>426</v>
      </c>
      <c r="B366" s="71" t="s">
        <v>430</v>
      </c>
      <c r="C366" s="70" t="s">
        <v>172</v>
      </c>
      <c r="D366" s="72" t="s">
        <v>178</v>
      </c>
      <c r="E366" s="73" t="n">
        <v>150</v>
      </c>
      <c r="F366" s="73" t="n">
        <v>300</v>
      </c>
      <c r="G366" s="73" t="n">
        <v>400</v>
      </c>
      <c r="H366" s="73" t="n">
        <v>480</v>
      </c>
      <c r="I366" s="73" t="s">
        <v>253</v>
      </c>
      <c r="J366" s="70"/>
      <c r="K366" s="73" t="s">
        <v>174</v>
      </c>
      <c r="L366" s="73" t="s">
        <v>174</v>
      </c>
      <c r="M366" s="73" t="s">
        <v>174</v>
      </c>
    </row>
    <row r="367" customFormat="false" ht="15" hidden="false" customHeight="false" outlineLevel="0" collapsed="false">
      <c r="A367" s="70" t="s">
        <v>426</v>
      </c>
      <c r="B367" s="71"/>
      <c r="C367" s="70" t="s">
        <v>175</v>
      </c>
      <c r="D367" s="72"/>
      <c r="E367" s="73"/>
      <c r="F367" s="73"/>
      <c r="G367" s="73"/>
      <c r="H367" s="73"/>
      <c r="I367" s="73"/>
      <c r="J367" s="70"/>
      <c r="K367" s="70"/>
      <c r="L367" s="70"/>
      <c r="M367" s="70"/>
    </row>
    <row r="368" customFormat="false" ht="15" hidden="false" customHeight="false" outlineLevel="0" collapsed="false">
      <c r="A368" s="70" t="s">
        <v>431</v>
      </c>
      <c r="B368" s="71" t="s">
        <v>432</v>
      </c>
      <c r="C368" s="70" t="s">
        <v>172</v>
      </c>
      <c r="D368" s="72" t="s">
        <v>178</v>
      </c>
      <c r="E368" s="73" t="n">
        <v>16</v>
      </c>
      <c r="F368" s="73" t="n">
        <v>17</v>
      </c>
      <c r="G368" s="73" t="n">
        <v>17</v>
      </c>
      <c r="H368" s="73" t="n">
        <v>20</v>
      </c>
      <c r="I368" s="73" t="s">
        <v>253</v>
      </c>
      <c r="J368" s="70"/>
      <c r="K368" s="73" t="n">
        <v>4</v>
      </c>
      <c r="L368" s="70"/>
      <c r="M368" s="70"/>
    </row>
    <row r="369" customFormat="false" ht="15" hidden="false" customHeight="false" outlineLevel="0" collapsed="false">
      <c r="A369" s="70" t="s">
        <v>431</v>
      </c>
      <c r="B369" s="71"/>
      <c r="C369" s="70" t="s">
        <v>175</v>
      </c>
      <c r="D369" s="72"/>
      <c r="E369" s="73"/>
      <c r="F369" s="73"/>
      <c r="G369" s="73"/>
      <c r="H369" s="73"/>
      <c r="I369" s="73"/>
      <c r="J369" s="70"/>
      <c r="K369" s="70"/>
      <c r="L369" s="70"/>
      <c r="M369" s="70"/>
    </row>
    <row r="370" customFormat="false" ht="15" hidden="false" customHeight="false" outlineLevel="0" collapsed="false">
      <c r="A370" s="70" t="s">
        <v>431</v>
      </c>
      <c r="B370" s="71" t="s">
        <v>433</v>
      </c>
      <c r="C370" s="70" t="s">
        <v>172</v>
      </c>
      <c r="D370" s="72" t="s">
        <v>178</v>
      </c>
      <c r="E370" s="73" t="n">
        <v>57</v>
      </c>
      <c r="F370" s="73" t="n">
        <v>62</v>
      </c>
      <c r="G370" s="73" t="n">
        <v>62</v>
      </c>
      <c r="H370" s="73"/>
      <c r="I370" s="73" t="s">
        <v>241</v>
      </c>
      <c r="J370" s="70"/>
      <c r="K370" s="70"/>
      <c r="L370" s="70"/>
      <c r="M370" s="70"/>
    </row>
    <row r="371" customFormat="false" ht="15" hidden="false" customHeight="false" outlineLevel="0" collapsed="false">
      <c r="A371" s="70" t="s">
        <v>431</v>
      </c>
      <c r="B371" s="71"/>
      <c r="C371" s="70" t="s">
        <v>175</v>
      </c>
      <c r="D371" s="72"/>
      <c r="E371" s="73"/>
      <c r="F371" s="73"/>
      <c r="G371" s="73"/>
      <c r="H371" s="73"/>
      <c r="I371" s="73"/>
      <c r="J371" s="70"/>
      <c r="K371" s="70"/>
      <c r="L371" s="70"/>
      <c r="M371" s="70"/>
    </row>
    <row r="372" customFormat="false" ht="15" hidden="false" customHeight="false" outlineLevel="0" collapsed="false">
      <c r="A372" s="70" t="s">
        <v>431</v>
      </c>
      <c r="B372" s="71" t="s">
        <v>434</v>
      </c>
      <c r="C372" s="70" t="s">
        <v>172</v>
      </c>
      <c r="D372" s="72" t="s">
        <v>178</v>
      </c>
      <c r="E372" s="73" t="n">
        <v>15</v>
      </c>
      <c r="F372" s="73" t="n">
        <v>23</v>
      </c>
      <c r="G372" s="73" t="n">
        <v>23</v>
      </c>
      <c r="H372" s="73" t="n">
        <v>23</v>
      </c>
      <c r="I372" s="73" t="s">
        <v>241</v>
      </c>
      <c r="J372" s="70"/>
      <c r="K372" s="73" t="s">
        <v>174</v>
      </c>
      <c r="L372" s="70"/>
      <c r="M372" s="70"/>
    </row>
    <row r="373" customFormat="false" ht="15" hidden="false" customHeight="false" outlineLevel="0" collapsed="false">
      <c r="A373" s="70" t="s">
        <v>431</v>
      </c>
      <c r="B373" s="71"/>
      <c r="C373" s="70" t="s">
        <v>175</v>
      </c>
      <c r="D373" s="72"/>
      <c r="E373" s="73"/>
      <c r="F373" s="73"/>
      <c r="G373" s="73"/>
      <c r="H373" s="73"/>
      <c r="I373" s="73"/>
      <c r="J373" s="70"/>
      <c r="K373" s="70"/>
      <c r="L373" s="70"/>
      <c r="M373" s="70"/>
    </row>
    <row r="374" customFormat="false" ht="15" hidden="false" customHeight="false" outlineLevel="0" collapsed="false">
      <c r="A374" s="70" t="s">
        <v>435</v>
      </c>
      <c r="B374" s="71" t="s">
        <v>436</v>
      </c>
      <c r="C374" s="70" t="s">
        <v>172</v>
      </c>
      <c r="D374" s="72" t="s">
        <v>173</v>
      </c>
      <c r="E374" s="73" t="n">
        <v>60</v>
      </c>
      <c r="F374" s="73" t="n">
        <v>60</v>
      </c>
      <c r="G374" s="73" t="n">
        <v>60</v>
      </c>
      <c r="H374" s="73" t="n">
        <v>120</v>
      </c>
      <c r="I374" s="73" t="s">
        <v>437</v>
      </c>
      <c r="J374" s="70"/>
      <c r="K374" s="73" t="n">
        <v>10</v>
      </c>
      <c r="L374" s="70"/>
      <c r="M374" s="70"/>
    </row>
    <row r="375" customFormat="false" ht="15" hidden="false" customHeight="false" outlineLevel="0" collapsed="false">
      <c r="A375" s="70" t="s">
        <v>435</v>
      </c>
      <c r="B375" s="71"/>
      <c r="C375" s="70" t="s">
        <v>175</v>
      </c>
      <c r="D375" s="72"/>
      <c r="E375" s="73"/>
      <c r="F375" s="73"/>
      <c r="G375" s="73"/>
      <c r="H375" s="73"/>
      <c r="I375" s="73"/>
      <c r="J375" s="70"/>
      <c r="K375" s="70"/>
      <c r="L375" s="70"/>
      <c r="M375" s="70"/>
    </row>
    <row r="376" customFormat="false" ht="15" hidden="false" customHeight="false" outlineLevel="0" collapsed="false">
      <c r="A376" s="70" t="s">
        <v>435</v>
      </c>
      <c r="B376" s="71" t="s">
        <v>438</v>
      </c>
      <c r="C376" s="70" t="s">
        <v>172</v>
      </c>
      <c r="D376" s="72" t="s">
        <v>173</v>
      </c>
      <c r="E376" s="73" t="n">
        <v>31</v>
      </c>
      <c r="F376" s="73" t="n">
        <v>31</v>
      </c>
      <c r="G376" s="73" t="n">
        <v>63</v>
      </c>
      <c r="H376" s="73" t="n">
        <v>63</v>
      </c>
      <c r="I376" s="73" t="s">
        <v>437</v>
      </c>
      <c r="J376" s="70"/>
      <c r="K376" s="73" t="n">
        <v>3</v>
      </c>
      <c r="L376" s="70"/>
      <c r="M376" s="70"/>
    </row>
    <row r="377" customFormat="false" ht="15" hidden="false" customHeight="false" outlineLevel="0" collapsed="false">
      <c r="A377" s="70" t="s">
        <v>435</v>
      </c>
      <c r="B377" s="71"/>
      <c r="C377" s="70" t="s">
        <v>175</v>
      </c>
      <c r="D377" s="72"/>
      <c r="E377" s="73"/>
      <c r="F377" s="73"/>
      <c r="G377" s="73"/>
      <c r="H377" s="73"/>
      <c r="I377" s="73"/>
      <c r="J377" s="70"/>
      <c r="K377" s="70"/>
      <c r="L377" s="70"/>
      <c r="M377" s="70"/>
    </row>
    <row r="378" customFormat="false" ht="15" hidden="false" customHeight="false" outlineLevel="0" collapsed="false">
      <c r="A378" s="70" t="s">
        <v>435</v>
      </c>
      <c r="B378" s="71" t="s">
        <v>439</v>
      </c>
      <c r="C378" s="70" t="s">
        <v>172</v>
      </c>
      <c r="D378" s="72" t="s">
        <v>173</v>
      </c>
      <c r="E378" s="73" t="n">
        <v>55</v>
      </c>
      <c r="F378" s="73" t="n">
        <v>69</v>
      </c>
      <c r="G378" s="73" t="n">
        <v>69</v>
      </c>
      <c r="H378" s="73" t="n">
        <v>140</v>
      </c>
      <c r="I378" s="73" t="s">
        <v>437</v>
      </c>
      <c r="J378" s="73" t="n">
        <v>72</v>
      </c>
      <c r="K378" s="73" t="s">
        <v>174</v>
      </c>
      <c r="L378" s="70"/>
      <c r="M378" s="70"/>
    </row>
    <row r="379" customFormat="false" ht="15" hidden="false" customHeight="false" outlineLevel="0" collapsed="false">
      <c r="A379" s="70" t="s">
        <v>435</v>
      </c>
      <c r="B379" s="71"/>
      <c r="C379" s="70" t="s">
        <v>175</v>
      </c>
      <c r="D379" s="72"/>
      <c r="E379" s="73"/>
      <c r="F379" s="73"/>
      <c r="G379" s="73"/>
      <c r="H379" s="73"/>
      <c r="I379" s="73"/>
      <c r="J379" s="70"/>
      <c r="K379" s="70"/>
      <c r="L379" s="70"/>
      <c r="M379" s="70"/>
    </row>
    <row r="380" customFormat="false" ht="15" hidden="false" customHeight="false" outlineLevel="0" collapsed="false">
      <c r="A380" s="70" t="s">
        <v>435</v>
      </c>
      <c r="B380" s="71" t="s">
        <v>440</v>
      </c>
      <c r="C380" s="70" t="s">
        <v>172</v>
      </c>
      <c r="D380" s="72" t="s">
        <v>173</v>
      </c>
      <c r="E380" s="73" t="n">
        <v>43</v>
      </c>
      <c r="F380" s="73" t="n">
        <v>43</v>
      </c>
      <c r="G380" s="73" t="n">
        <v>43</v>
      </c>
      <c r="H380" s="73" t="n">
        <v>88</v>
      </c>
      <c r="I380" s="73" t="s">
        <v>437</v>
      </c>
      <c r="J380" s="70"/>
      <c r="K380" s="73" t="s">
        <v>174</v>
      </c>
      <c r="L380" s="70"/>
      <c r="M380" s="70"/>
    </row>
    <row r="381" customFormat="false" ht="15" hidden="false" customHeight="false" outlineLevel="0" collapsed="false">
      <c r="A381" s="70" t="s">
        <v>435</v>
      </c>
      <c r="B381" s="71"/>
      <c r="C381" s="70" t="s">
        <v>175</v>
      </c>
      <c r="D381" s="72"/>
      <c r="E381" s="73"/>
      <c r="F381" s="73"/>
      <c r="G381" s="73"/>
      <c r="H381" s="73"/>
      <c r="I381" s="73"/>
      <c r="J381" s="70"/>
      <c r="K381" s="70"/>
      <c r="L381" s="70"/>
      <c r="M381" s="70"/>
    </row>
    <row r="382" customFormat="false" ht="15" hidden="false" customHeight="false" outlineLevel="0" collapsed="false">
      <c r="A382" s="70" t="s">
        <v>441</v>
      </c>
      <c r="B382" s="71" t="s">
        <v>442</v>
      </c>
      <c r="C382" s="70" t="s">
        <v>172</v>
      </c>
      <c r="D382" s="72" t="s">
        <v>173</v>
      </c>
      <c r="E382" s="73" t="n">
        <v>104</v>
      </c>
      <c r="F382" s="73" t="n">
        <v>104</v>
      </c>
      <c r="G382" s="73" t="n">
        <v>137</v>
      </c>
      <c r="H382" s="73" t="n">
        <v>151</v>
      </c>
      <c r="I382" s="73" t="s">
        <v>437</v>
      </c>
      <c r="J382" s="73" t="n">
        <v>162</v>
      </c>
      <c r="K382" s="73" t="n">
        <v>2</v>
      </c>
      <c r="L382" s="70"/>
      <c r="M382" s="70"/>
    </row>
    <row r="383" customFormat="false" ht="15" hidden="false" customHeight="false" outlineLevel="0" collapsed="false">
      <c r="A383" s="70" t="s">
        <v>441</v>
      </c>
      <c r="B383" s="71"/>
      <c r="C383" s="70" t="s">
        <v>175</v>
      </c>
      <c r="D383" s="72"/>
      <c r="E383" s="73"/>
      <c r="F383" s="73"/>
      <c r="G383" s="73"/>
      <c r="H383" s="73"/>
      <c r="I383" s="73"/>
      <c r="J383" s="70"/>
      <c r="K383" s="70"/>
      <c r="L383" s="70"/>
      <c r="M383" s="70"/>
    </row>
    <row r="384" customFormat="false" ht="15" hidden="false" customHeight="false" outlineLevel="0" collapsed="false">
      <c r="A384" s="70" t="s">
        <v>441</v>
      </c>
      <c r="B384" s="71" t="s">
        <v>443</v>
      </c>
      <c r="C384" s="70" t="s">
        <v>172</v>
      </c>
      <c r="D384" s="72" t="s">
        <v>173</v>
      </c>
      <c r="E384" s="73" t="n">
        <v>44</v>
      </c>
      <c r="F384" s="73" t="n">
        <v>49</v>
      </c>
      <c r="G384" s="73" t="n">
        <v>54</v>
      </c>
      <c r="H384" s="73" t="n">
        <v>60</v>
      </c>
      <c r="I384" s="73" t="s">
        <v>437</v>
      </c>
      <c r="J384" s="73" t="n">
        <v>77</v>
      </c>
      <c r="K384" s="73" t="n">
        <v>6</v>
      </c>
      <c r="L384" s="70"/>
      <c r="M384" s="70"/>
    </row>
    <row r="385" customFormat="false" ht="15" hidden="false" customHeight="false" outlineLevel="0" collapsed="false">
      <c r="A385" s="70" t="s">
        <v>441</v>
      </c>
      <c r="B385" s="71"/>
      <c r="C385" s="70" t="s">
        <v>175</v>
      </c>
      <c r="D385" s="72"/>
      <c r="E385" s="73"/>
      <c r="F385" s="73"/>
      <c r="G385" s="73"/>
      <c r="H385" s="73"/>
      <c r="I385" s="73"/>
      <c r="J385" s="70"/>
      <c r="K385" s="70"/>
      <c r="L385" s="70"/>
      <c r="M385" s="70"/>
    </row>
    <row r="386" customFormat="false" ht="15" hidden="false" customHeight="false" outlineLevel="0" collapsed="false">
      <c r="A386" s="70" t="s">
        <v>441</v>
      </c>
      <c r="B386" s="71" t="s">
        <v>444</v>
      </c>
      <c r="C386" s="70" t="s">
        <v>172</v>
      </c>
      <c r="D386" s="72" t="s">
        <v>173</v>
      </c>
      <c r="E386" s="73" t="n">
        <v>37</v>
      </c>
      <c r="F386" s="73" t="n">
        <v>42</v>
      </c>
      <c r="G386" s="73" t="n">
        <v>42</v>
      </c>
      <c r="H386" s="73" t="n">
        <v>83</v>
      </c>
      <c r="I386" s="73" t="s">
        <v>437</v>
      </c>
      <c r="J386" s="70"/>
      <c r="K386" s="73" t="s">
        <v>174</v>
      </c>
      <c r="L386" s="70"/>
      <c r="M386" s="70"/>
    </row>
    <row r="387" customFormat="false" ht="15" hidden="false" customHeight="false" outlineLevel="0" collapsed="false">
      <c r="A387" s="70" t="s">
        <v>441</v>
      </c>
      <c r="B387" s="71"/>
      <c r="C387" s="70" t="s">
        <v>175</v>
      </c>
      <c r="D387" s="72"/>
      <c r="E387" s="73"/>
      <c r="F387" s="73"/>
      <c r="G387" s="73"/>
      <c r="H387" s="73"/>
      <c r="I387" s="73"/>
      <c r="J387" s="70"/>
      <c r="K387" s="70"/>
      <c r="L387" s="70"/>
      <c r="M387" s="70"/>
    </row>
    <row r="388" customFormat="false" ht="15" hidden="false" customHeight="false" outlineLevel="0" collapsed="false">
      <c r="A388" s="70" t="s">
        <v>441</v>
      </c>
      <c r="B388" s="71" t="s">
        <v>445</v>
      </c>
      <c r="C388" s="70" t="s">
        <v>172</v>
      </c>
      <c r="D388" s="72" t="s">
        <v>173</v>
      </c>
      <c r="E388" s="73" t="n">
        <v>74</v>
      </c>
      <c r="F388" s="73" t="n">
        <v>74</v>
      </c>
      <c r="G388" s="73" t="n">
        <v>74</v>
      </c>
      <c r="H388" s="73" t="n">
        <v>74</v>
      </c>
      <c r="I388" s="73" t="s">
        <v>241</v>
      </c>
      <c r="J388" s="70"/>
      <c r="K388" s="73" t="n">
        <v>4</v>
      </c>
      <c r="L388" s="70"/>
      <c r="M388" s="70"/>
    </row>
    <row r="389" customFormat="false" ht="15" hidden="false" customHeight="false" outlineLevel="0" collapsed="false">
      <c r="A389" s="70" t="s">
        <v>441</v>
      </c>
      <c r="B389" s="71"/>
      <c r="C389" s="70" t="s">
        <v>175</v>
      </c>
      <c r="D389" s="72"/>
      <c r="E389" s="73"/>
      <c r="F389" s="73"/>
      <c r="G389" s="73"/>
      <c r="H389" s="73"/>
      <c r="I389" s="73"/>
      <c r="J389" s="70"/>
      <c r="K389" s="70"/>
      <c r="L389" s="70"/>
      <c r="M389" s="70"/>
    </row>
    <row r="390" customFormat="false" ht="15" hidden="false" customHeight="false" outlineLevel="0" collapsed="false">
      <c r="A390" s="70" t="s">
        <v>441</v>
      </c>
      <c r="B390" s="71" t="s">
        <v>446</v>
      </c>
      <c r="C390" s="70" t="s">
        <v>172</v>
      </c>
      <c r="D390" s="72" t="s">
        <v>173</v>
      </c>
      <c r="E390" s="73" t="n">
        <v>39</v>
      </c>
      <c r="F390" s="73" t="n">
        <v>46</v>
      </c>
      <c r="G390" s="73" t="n">
        <v>46</v>
      </c>
      <c r="H390" s="73" t="n">
        <v>52</v>
      </c>
      <c r="I390" s="73" t="s">
        <v>437</v>
      </c>
      <c r="J390" s="70"/>
      <c r="K390" s="70"/>
      <c r="L390" s="70"/>
      <c r="M390" s="70"/>
    </row>
    <row r="391" customFormat="false" ht="15" hidden="false" customHeight="false" outlineLevel="0" collapsed="false">
      <c r="A391" s="70" t="s">
        <v>441</v>
      </c>
      <c r="B391" s="71"/>
      <c r="C391" s="70" t="s">
        <v>175</v>
      </c>
      <c r="D391" s="72"/>
      <c r="E391" s="73"/>
      <c r="F391" s="73"/>
      <c r="G391" s="73"/>
      <c r="H391" s="73"/>
      <c r="I391" s="73"/>
      <c r="J391" s="70"/>
      <c r="K391" s="70"/>
      <c r="L391" s="70"/>
      <c r="M391" s="70"/>
    </row>
    <row r="392" customFormat="false" ht="15" hidden="false" customHeight="false" outlineLevel="0" collapsed="false">
      <c r="A392" s="70" t="s">
        <v>441</v>
      </c>
      <c r="B392" s="71" t="s">
        <v>447</v>
      </c>
      <c r="C392" s="70" t="s">
        <v>172</v>
      </c>
      <c r="D392" s="72" t="s">
        <v>173</v>
      </c>
      <c r="E392" s="73" t="n">
        <v>42</v>
      </c>
      <c r="F392" s="73" t="n">
        <v>42</v>
      </c>
      <c r="G392" s="73" t="n">
        <v>42</v>
      </c>
      <c r="H392" s="73" t="n">
        <v>51</v>
      </c>
      <c r="I392" s="73" t="s">
        <v>437</v>
      </c>
      <c r="J392" s="70"/>
      <c r="K392" s="70"/>
      <c r="L392" s="70"/>
      <c r="M392" s="70"/>
    </row>
    <row r="393" customFormat="false" ht="15" hidden="false" customHeight="false" outlineLevel="0" collapsed="false">
      <c r="A393" s="70" t="s">
        <v>441</v>
      </c>
      <c r="B393" s="71"/>
      <c r="C393" s="70" t="s">
        <v>175</v>
      </c>
      <c r="D393" s="72"/>
      <c r="E393" s="73"/>
      <c r="F393" s="73"/>
      <c r="G393" s="73"/>
      <c r="H393" s="73"/>
      <c r="I393" s="73"/>
      <c r="J393" s="70"/>
      <c r="K393" s="70"/>
      <c r="L393" s="70"/>
      <c r="M393" s="70"/>
    </row>
    <row r="394" customFormat="false" ht="15" hidden="false" customHeight="false" outlineLevel="0" collapsed="false">
      <c r="A394" s="70" t="s">
        <v>441</v>
      </c>
      <c r="B394" s="71" t="s">
        <v>448</v>
      </c>
      <c r="C394" s="70" t="s">
        <v>172</v>
      </c>
      <c r="D394" s="72" t="s">
        <v>173</v>
      </c>
      <c r="E394" s="73" t="n">
        <v>58</v>
      </c>
      <c r="F394" s="73" t="n">
        <v>58</v>
      </c>
      <c r="G394" s="73" t="n">
        <v>58</v>
      </c>
      <c r="H394" s="73" t="n">
        <v>116</v>
      </c>
      <c r="I394" s="73" t="s">
        <v>437</v>
      </c>
      <c r="J394" s="70"/>
      <c r="K394" s="70"/>
      <c r="L394" s="70"/>
      <c r="M394" s="70"/>
    </row>
    <row r="395" customFormat="false" ht="15" hidden="false" customHeight="false" outlineLevel="0" collapsed="false">
      <c r="A395" s="70" t="s">
        <v>441</v>
      </c>
      <c r="B395" s="71"/>
      <c r="C395" s="70" t="s">
        <v>175</v>
      </c>
      <c r="D395" s="72"/>
      <c r="E395" s="73"/>
      <c r="F395" s="73"/>
      <c r="G395" s="73"/>
      <c r="H395" s="73"/>
      <c r="I395" s="73"/>
      <c r="J395" s="70"/>
      <c r="K395" s="70"/>
      <c r="L395" s="70"/>
      <c r="M395" s="70"/>
    </row>
    <row r="396" customFormat="false" ht="15" hidden="false" customHeight="false" outlineLevel="0" collapsed="false">
      <c r="A396" s="70" t="s">
        <v>441</v>
      </c>
      <c r="B396" s="71" t="s">
        <v>449</v>
      </c>
      <c r="C396" s="70" t="s">
        <v>172</v>
      </c>
      <c r="D396" s="72" t="s">
        <v>173</v>
      </c>
      <c r="E396" s="73" t="n">
        <v>29</v>
      </c>
      <c r="F396" s="73" t="n">
        <v>29</v>
      </c>
      <c r="G396" s="73" t="n">
        <v>29</v>
      </c>
      <c r="H396" s="73" t="n">
        <v>47</v>
      </c>
      <c r="I396" s="73" t="s">
        <v>437</v>
      </c>
      <c r="J396" s="70"/>
      <c r="K396" s="73" t="s">
        <v>174</v>
      </c>
      <c r="L396" s="70"/>
      <c r="M396" s="70"/>
    </row>
    <row r="397" customFormat="false" ht="15" hidden="false" customHeight="false" outlineLevel="0" collapsed="false">
      <c r="A397" s="70" t="s">
        <v>441</v>
      </c>
      <c r="B397" s="71"/>
      <c r="C397" s="70" t="s">
        <v>175</v>
      </c>
      <c r="D397" s="72"/>
      <c r="E397" s="73"/>
      <c r="F397" s="73"/>
      <c r="G397" s="73"/>
      <c r="H397" s="73"/>
      <c r="I397" s="73"/>
      <c r="J397" s="70"/>
      <c r="K397" s="70"/>
      <c r="L397" s="70"/>
      <c r="M397" s="70"/>
    </row>
    <row r="398" customFormat="false" ht="15" hidden="false" customHeight="false" outlineLevel="0" collapsed="false">
      <c r="A398" s="70" t="s">
        <v>441</v>
      </c>
      <c r="B398" s="71" t="s">
        <v>450</v>
      </c>
      <c r="C398" s="70" t="s">
        <v>172</v>
      </c>
      <c r="D398" s="72" t="s">
        <v>173</v>
      </c>
      <c r="E398" s="73" t="n">
        <v>79</v>
      </c>
      <c r="F398" s="73" t="n">
        <v>90</v>
      </c>
      <c r="G398" s="73" t="n">
        <v>90</v>
      </c>
      <c r="H398" s="73" t="n">
        <v>97</v>
      </c>
      <c r="I398" s="73" t="s">
        <v>437</v>
      </c>
      <c r="J398" s="70"/>
      <c r="K398" s="73" t="n">
        <v>6</v>
      </c>
      <c r="L398" s="70"/>
      <c r="M398" s="70"/>
    </row>
    <row r="399" customFormat="false" ht="15" hidden="false" customHeight="false" outlineLevel="0" collapsed="false">
      <c r="A399" s="70" t="s">
        <v>441</v>
      </c>
      <c r="B399" s="71"/>
      <c r="C399" s="70" t="s">
        <v>175</v>
      </c>
      <c r="D399" s="72"/>
      <c r="E399" s="73"/>
      <c r="F399" s="73"/>
      <c r="G399" s="73"/>
      <c r="H399" s="73"/>
      <c r="I399" s="73"/>
      <c r="J399" s="70"/>
      <c r="K399" s="70"/>
      <c r="L399" s="70"/>
      <c r="M399" s="70"/>
    </row>
    <row r="400" customFormat="false" ht="15" hidden="false" customHeight="false" outlineLevel="0" collapsed="false">
      <c r="A400" s="70" t="s">
        <v>451</v>
      </c>
      <c r="B400" s="71" t="s">
        <v>452</v>
      </c>
      <c r="C400" s="70" t="s">
        <v>172</v>
      </c>
      <c r="D400" s="72" t="s">
        <v>178</v>
      </c>
      <c r="E400" s="73" t="n">
        <v>99</v>
      </c>
      <c r="F400" s="73" t="n">
        <v>149</v>
      </c>
      <c r="G400" s="73" t="n">
        <v>149</v>
      </c>
      <c r="H400" s="73" t="n">
        <v>189</v>
      </c>
      <c r="I400" s="73" t="s">
        <v>437</v>
      </c>
      <c r="J400" s="70"/>
      <c r="K400" s="73" t="n">
        <v>8</v>
      </c>
      <c r="L400" s="73" t="n">
        <v>30</v>
      </c>
      <c r="M400" s="73" t="n">
        <v>30</v>
      </c>
    </row>
    <row r="401" customFormat="false" ht="15" hidden="false" customHeight="false" outlineLevel="0" collapsed="false">
      <c r="A401" s="70" t="s">
        <v>451</v>
      </c>
      <c r="B401" s="71"/>
      <c r="C401" s="70" t="s">
        <v>175</v>
      </c>
      <c r="D401" s="72"/>
      <c r="E401" s="73"/>
      <c r="F401" s="73"/>
      <c r="G401" s="73"/>
      <c r="H401" s="73"/>
      <c r="I401" s="73"/>
      <c r="J401" s="70"/>
      <c r="K401" s="70"/>
      <c r="L401" s="70"/>
      <c r="M401" s="70"/>
    </row>
    <row r="402" customFormat="false" ht="15" hidden="false" customHeight="false" outlineLevel="0" collapsed="false">
      <c r="A402" s="70" t="s">
        <v>451</v>
      </c>
      <c r="B402" s="71" t="s">
        <v>453</v>
      </c>
      <c r="C402" s="70" t="s">
        <v>172</v>
      </c>
      <c r="D402" s="72" t="s">
        <v>178</v>
      </c>
      <c r="E402" s="73" t="n">
        <v>35</v>
      </c>
      <c r="F402" s="73" t="n">
        <v>35</v>
      </c>
      <c r="G402" s="73" t="n">
        <v>35</v>
      </c>
      <c r="H402" s="73"/>
      <c r="I402" s="73"/>
      <c r="J402" s="70"/>
      <c r="K402" s="70" t="n">
        <v>5</v>
      </c>
      <c r="L402" s="70" t="n">
        <v>12</v>
      </c>
      <c r="M402" s="70" t="n">
        <v>12</v>
      </c>
    </row>
    <row r="403" customFormat="false" ht="15" hidden="false" customHeight="false" outlineLevel="0" collapsed="false">
      <c r="A403" s="70" t="s">
        <v>451</v>
      </c>
      <c r="B403" s="71"/>
      <c r="C403" s="70" t="s">
        <v>175</v>
      </c>
      <c r="D403" s="72"/>
      <c r="E403" s="73"/>
      <c r="F403" s="73"/>
      <c r="G403" s="73"/>
      <c r="H403" s="73"/>
      <c r="I403" s="73"/>
      <c r="J403" s="70"/>
      <c r="K403" s="70"/>
      <c r="L403" s="70"/>
      <c r="M403" s="70"/>
    </row>
    <row r="404" customFormat="false" ht="15" hidden="false" customHeight="false" outlineLevel="0" collapsed="false">
      <c r="A404" s="70" t="s">
        <v>451</v>
      </c>
      <c r="B404" s="71" t="s">
        <v>454</v>
      </c>
      <c r="C404" s="70" t="s">
        <v>172</v>
      </c>
      <c r="D404" s="72" t="s">
        <v>178</v>
      </c>
      <c r="E404" s="73" t="n">
        <v>38</v>
      </c>
      <c r="F404" s="73" t="n">
        <v>50</v>
      </c>
      <c r="G404" s="73" t="n">
        <v>60</v>
      </c>
      <c r="H404" s="73" t="n">
        <v>60</v>
      </c>
      <c r="I404" s="73" t="s">
        <v>437</v>
      </c>
      <c r="J404" s="70"/>
      <c r="K404" s="73" t="n">
        <v>10</v>
      </c>
      <c r="L404" s="73" t="n">
        <v>14</v>
      </c>
      <c r="M404" s="73" t="n">
        <v>14</v>
      </c>
    </row>
    <row r="405" customFormat="false" ht="15" hidden="false" customHeight="false" outlineLevel="0" collapsed="false">
      <c r="A405" s="70" t="s">
        <v>451</v>
      </c>
      <c r="B405" s="71"/>
      <c r="C405" s="70" t="s">
        <v>175</v>
      </c>
      <c r="D405" s="72" t="s">
        <v>178</v>
      </c>
      <c r="E405" s="73" t="n">
        <v>36</v>
      </c>
      <c r="F405" s="73" t="n">
        <v>47</v>
      </c>
      <c r="G405" s="73" t="n">
        <v>47</v>
      </c>
      <c r="H405" s="73" t="n">
        <v>57</v>
      </c>
      <c r="I405" s="73" t="s">
        <v>437</v>
      </c>
      <c r="J405" s="70"/>
      <c r="K405" s="73" t="n">
        <v>10</v>
      </c>
      <c r="L405" s="73" t="n">
        <v>14</v>
      </c>
      <c r="M405" s="70" t="n">
        <v>14</v>
      </c>
    </row>
    <row r="406" customFormat="false" ht="15" hidden="false" customHeight="false" outlineLevel="0" collapsed="false">
      <c r="A406" s="70" t="s">
        <v>455</v>
      </c>
      <c r="B406" s="71" t="s">
        <v>456</v>
      </c>
      <c r="C406" s="70" t="s">
        <v>172</v>
      </c>
      <c r="D406" s="72" t="s">
        <v>173</v>
      </c>
      <c r="E406" s="73" t="n">
        <v>273</v>
      </c>
      <c r="F406" s="73" t="n">
        <v>497</v>
      </c>
      <c r="G406" s="73" t="n">
        <v>497</v>
      </c>
      <c r="H406" s="73" t="n">
        <v>994</v>
      </c>
      <c r="I406" s="73"/>
      <c r="J406" s="70"/>
      <c r="K406" s="73" t="s">
        <v>174</v>
      </c>
      <c r="L406" s="70"/>
      <c r="M406" s="73" t="s">
        <v>174</v>
      </c>
    </row>
    <row r="407" customFormat="false" ht="15" hidden="false" customHeight="false" outlineLevel="0" collapsed="false">
      <c r="A407" s="70" t="s">
        <v>455</v>
      </c>
      <c r="B407" s="71"/>
      <c r="C407" s="70" t="s">
        <v>175</v>
      </c>
      <c r="D407" s="72"/>
      <c r="E407" s="73"/>
      <c r="F407" s="73"/>
      <c r="G407" s="73"/>
      <c r="H407" s="73"/>
      <c r="I407" s="73"/>
      <c r="J407" s="70"/>
      <c r="K407" s="70"/>
      <c r="L407" s="70"/>
      <c r="M407" s="70"/>
    </row>
    <row r="408" customFormat="false" ht="15" hidden="false" customHeight="false" outlineLevel="0" collapsed="false">
      <c r="A408" s="70" t="s">
        <v>455</v>
      </c>
      <c r="B408" s="71" t="s">
        <v>457</v>
      </c>
      <c r="C408" s="70" t="s">
        <v>172</v>
      </c>
      <c r="D408" s="72" t="s">
        <v>173</v>
      </c>
      <c r="E408" s="73" t="n">
        <v>81</v>
      </c>
      <c r="F408" s="73" t="n">
        <v>81</v>
      </c>
      <c r="G408" s="73" t="n">
        <v>81</v>
      </c>
      <c r="H408" s="73" t="n">
        <v>135</v>
      </c>
      <c r="I408" s="73" t="s">
        <v>437</v>
      </c>
      <c r="J408" s="70"/>
      <c r="K408" s="73" t="n">
        <v>6</v>
      </c>
      <c r="L408" s="70"/>
      <c r="M408" s="70"/>
    </row>
    <row r="409" customFormat="false" ht="15" hidden="false" customHeight="false" outlineLevel="0" collapsed="false">
      <c r="A409" s="70" t="s">
        <v>455</v>
      </c>
      <c r="B409" s="71"/>
      <c r="C409" s="70" t="s">
        <v>175</v>
      </c>
      <c r="D409" s="72"/>
      <c r="E409" s="73"/>
      <c r="F409" s="73"/>
      <c r="G409" s="73"/>
      <c r="H409" s="73"/>
      <c r="I409" s="73"/>
      <c r="J409" s="70"/>
      <c r="K409" s="70"/>
      <c r="L409" s="70"/>
      <c r="M409" s="70"/>
    </row>
    <row r="410" customFormat="false" ht="15" hidden="false" customHeight="false" outlineLevel="0" collapsed="false">
      <c r="A410" s="70" t="s">
        <v>455</v>
      </c>
      <c r="B410" s="71" t="s">
        <v>458</v>
      </c>
      <c r="C410" s="70" t="s">
        <v>172</v>
      </c>
      <c r="D410" s="72" t="s">
        <v>173</v>
      </c>
      <c r="E410" s="73"/>
      <c r="F410" s="73"/>
      <c r="G410" s="73" t="n">
        <v>696</v>
      </c>
      <c r="H410" s="73" t="n">
        <v>696</v>
      </c>
      <c r="I410" s="73" t="s">
        <v>241</v>
      </c>
      <c r="J410" s="70"/>
      <c r="K410" s="73" t="s">
        <v>174</v>
      </c>
      <c r="L410" s="73" t="s">
        <v>174</v>
      </c>
      <c r="M410" s="73" t="s">
        <v>174</v>
      </c>
    </row>
    <row r="411" customFormat="false" ht="15" hidden="false" customHeight="false" outlineLevel="0" collapsed="false">
      <c r="A411" s="70" t="s">
        <v>455</v>
      </c>
      <c r="B411" s="71"/>
      <c r="C411" s="70" t="s">
        <v>175</v>
      </c>
      <c r="D411" s="72"/>
      <c r="E411" s="73"/>
      <c r="F411" s="73"/>
      <c r="G411" s="73"/>
      <c r="H411" s="73"/>
      <c r="I411" s="73"/>
      <c r="J411" s="70"/>
      <c r="K411" s="70"/>
      <c r="L411" s="70"/>
      <c r="M411" s="70"/>
    </row>
    <row r="412" customFormat="false" ht="15" hidden="false" customHeight="false" outlineLevel="0" collapsed="false">
      <c r="A412" s="70" t="s">
        <v>459</v>
      </c>
      <c r="B412" s="71" t="s">
        <v>460</v>
      </c>
      <c r="C412" s="70" t="s">
        <v>172</v>
      </c>
      <c r="D412" s="72" t="s">
        <v>196</v>
      </c>
      <c r="E412" s="73" t="n">
        <v>362209</v>
      </c>
      <c r="F412" s="73" t="n">
        <v>404326</v>
      </c>
      <c r="G412" s="73" t="n">
        <v>552205</v>
      </c>
      <c r="H412" s="73" t="n">
        <v>808652</v>
      </c>
      <c r="I412" s="73" t="s">
        <v>437</v>
      </c>
      <c r="J412" s="70"/>
      <c r="K412" s="73" t="s">
        <v>174</v>
      </c>
      <c r="L412" s="70"/>
      <c r="M412" s="70"/>
    </row>
    <row r="413" customFormat="false" ht="15" hidden="false" customHeight="false" outlineLevel="0" collapsed="false">
      <c r="A413" s="70" t="s">
        <v>459</v>
      </c>
      <c r="B413" s="71"/>
      <c r="C413" s="70" t="s">
        <v>175</v>
      </c>
      <c r="D413" s="72"/>
      <c r="E413" s="73"/>
      <c r="F413" s="73"/>
      <c r="G413" s="73"/>
      <c r="H413" s="73"/>
      <c r="I413" s="73"/>
      <c r="J413" s="70"/>
      <c r="K413" s="70"/>
      <c r="L413" s="70"/>
      <c r="M413" s="70"/>
    </row>
    <row r="414" customFormat="false" ht="15" hidden="false" customHeight="false" outlineLevel="0" collapsed="false">
      <c r="A414" s="70" t="s">
        <v>459</v>
      </c>
      <c r="B414" s="71" t="s">
        <v>461</v>
      </c>
      <c r="C414" s="70" t="s">
        <v>172</v>
      </c>
      <c r="D414" s="72" t="s">
        <v>196</v>
      </c>
      <c r="E414" s="73" t="n">
        <v>476653</v>
      </c>
      <c r="F414" s="73" t="n">
        <v>491369</v>
      </c>
      <c r="G414" s="73" t="n">
        <v>491369</v>
      </c>
      <c r="H414" s="73" t="n">
        <v>701955</v>
      </c>
      <c r="I414" s="73" t="s">
        <v>437</v>
      </c>
      <c r="J414" s="70"/>
      <c r="K414" s="73" t="s">
        <v>174</v>
      </c>
      <c r="L414" s="70"/>
      <c r="M414" s="70"/>
    </row>
    <row r="415" customFormat="false" ht="15" hidden="false" customHeight="false" outlineLevel="0" collapsed="false">
      <c r="A415" s="70" t="s">
        <v>459</v>
      </c>
      <c r="B415" s="71"/>
      <c r="C415" s="70" t="s">
        <v>175</v>
      </c>
      <c r="D415" s="72"/>
      <c r="E415" s="73"/>
      <c r="F415" s="73"/>
      <c r="G415" s="73"/>
      <c r="H415" s="73"/>
      <c r="I415" s="73"/>
      <c r="J415" s="70"/>
      <c r="K415" s="70"/>
      <c r="L415" s="70"/>
      <c r="M415" s="70"/>
    </row>
    <row r="416" customFormat="false" ht="15" hidden="false" customHeight="false" outlineLevel="0" collapsed="false">
      <c r="A416" s="70" t="s">
        <v>459</v>
      </c>
      <c r="B416" s="71" t="s">
        <v>462</v>
      </c>
      <c r="C416" s="70" t="s">
        <v>172</v>
      </c>
      <c r="D416" s="72" t="s">
        <v>196</v>
      </c>
      <c r="E416" s="73" t="n">
        <v>136647</v>
      </c>
      <c r="F416" s="73" t="n">
        <v>231177</v>
      </c>
      <c r="G416" s="73" t="n">
        <v>251300</v>
      </c>
      <c r="H416" s="73" t="n">
        <v>273295</v>
      </c>
      <c r="I416" s="73" t="s">
        <v>437</v>
      </c>
      <c r="J416" s="70"/>
      <c r="K416" s="73" t="n">
        <v>20799</v>
      </c>
      <c r="L416" s="70"/>
      <c r="M416" s="70"/>
    </row>
    <row r="417" customFormat="false" ht="15" hidden="false" customHeight="false" outlineLevel="0" collapsed="false">
      <c r="A417" s="70" t="s">
        <v>459</v>
      </c>
      <c r="B417" s="71"/>
      <c r="C417" s="70" t="s">
        <v>175</v>
      </c>
      <c r="D417" s="72"/>
      <c r="E417" s="73"/>
      <c r="F417" s="73"/>
      <c r="G417" s="73"/>
      <c r="H417" s="73"/>
      <c r="I417" s="73"/>
      <c r="J417" s="70"/>
      <c r="K417" s="70"/>
      <c r="L417" s="70"/>
      <c r="M417" s="70"/>
    </row>
    <row r="418" customFormat="false" ht="15" hidden="false" customHeight="false" outlineLevel="0" collapsed="false">
      <c r="A418" s="70" t="s">
        <v>459</v>
      </c>
      <c r="B418" s="71" t="s">
        <v>463</v>
      </c>
      <c r="C418" s="70" t="s">
        <v>172</v>
      </c>
      <c r="D418" s="72" t="s">
        <v>196</v>
      </c>
      <c r="E418" s="73" t="n">
        <v>397775</v>
      </c>
      <c r="F418" s="73" t="n">
        <v>221142</v>
      </c>
      <c r="G418" s="73" t="n">
        <v>357997</v>
      </c>
      <c r="H418" s="73" t="n">
        <v>375936</v>
      </c>
      <c r="I418" s="73" t="s">
        <v>437</v>
      </c>
      <c r="J418" s="70"/>
      <c r="K418" s="73" t="n">
        <v>41597</v>
      </c>
      <c r="L418" s="70"/>
      <c r="M418" s="70"/>
    </row>
    <row r="419" customFormat="false" ht="15" hidden="false" customHeight="false" outlineLevel="0" collapsed="false">
      <c r="A419" s="70" t="s">
        <v>459</v>
      </c>
      <c r="B419" s="71"/>
      <c r="C419" s="70" t="s">
        <v>175</v>
      </c>
      <c r="D419" s="72"/>
      <c r="E419" s="73"/>
      <c r="F419" s="73"/>
      <c r="G419" s="73"/>
      <c r="H419" s="73"/>
      <c r="I419" s="73"/>
      <c r="J419" s="70"/>
      <c r="K419" s="70"/>
      <c r="L419" s="70"/>
      <c r="M419" s="70"/>
    </row>
    <row r="420" customFormat="false" ht="15" hidden="false" customHeight="false" outlineLevel="0" collapsed="false">
      <c r="A420" s="70" t="s">
        <v>459</v>
      </c>
      <c r="B420" s="71" t="s">
        <v>464</v>
      </c>
      <c r="C420" s="70" t="s">
        <v>172</v>
      </c>
      <c r="D420" s="72" t="s">
        <v>196</v>
      </c>
      <c r="E420" s="73" t="n">
        <v>597962</v>
      </c>
      <c r="F420" s="73" t="n">
        <v>597962</v>
      </c>
      <c r="G420" s="73" t="n">
        <v>618760</v>
      </c>
      <c r="H420" s="73" t="n">
        <v>675957</v>
      </c>
      <c r="I420" s="73" t="s">
        <v>437</v>
      </c>
      <c r="J420" s="70"/>
      <c r="K420" s="70"/>
      <c r="L420" s="70"/>
      <c r="M420" s="70"/>
    </row>
    <row r="421" customFormat="false" ht="15" hidden="false" customHeight="false" outlineLevel="0" collapsed="false">
      <c r="A421" s="70" t="s">
        <v>459</v>
      </c>
      <c r="B421" s="71"/>
      <c r="C421" s="70" t="s">
        <v>175</v>
      </c>
      <c r="D421" s="72"/>
      <c r="E421" s="73"/>
      <c r="F421" s="73"/>
      <c r="G421" s="73"/>
      <c r="H421" s="73"/>
      <c r="I421" s="73"/>
      <c r="J421" s="70"/>
      <c r="K421" s="70"/>
      <c r="L421" s="70"/>
      <c r="M421" s="70"/>
    </row>
    <row r="422" customFormat="false" ht="15" hidden="false" customHeight="false" outlineLevel="0" collapsed="false">
      <c r="A422" s="70" t="s">
        <v>459</v>
      </c>
      <c r="B422" s="71" t="s">
        <v>465</v>
      </c>
      <c r="C422" s="70" t="s">
        <v>172</v>
      </c>
      <c r="D422" s="72" t="s">
        <v>196</v>
      </c>
      <c r="E422" s="73" t="n">
        <v>519967</v>
      </c>
      <c r="F422" s="73" t="n">
        <v>519967</v>
      </c>
      <c r="G422" s="73" t="n">
        <v>519967</v>
      </c>
      <c r="H422" s="73"/>
      <c r="I422" s="73" t="s">
        <v>241</v>
      </c>
      <c r="J422" s="70"/>
      <c r="K422" s="70" t="n">
        <v>52997</v>
      </c>
      <c r="L422" s="70"/>
      <c r="M422" s="70"/>
    </row>
    <row r="423" customFormat="false" ht="15" hidden="false" customHeight="false" outlineLevel="0" collapsed="false">
      <c r="A423" s="70" t="s">
        <v>459</v>
      </c>
      <c r="B423" s="71"/>
      <c r="C423" s="70" t="s">
        <v>175</v>
      </c>
      <c r="D423" s="72"/>
      <c r="E423" s="73"/>
      <c r="F423" s="73"/>
      <c r="G423" s="73"/>
      <c r="H423" s="73"/>
      <c r="I423" s="73"/>
      <c r="J423" s="70"/>
      <c r="K423" s="70"/>
      <c r="L423" s="70"/>
      <c r="M423" s="70"/>
    </row>
    <row r="424" customFormat="false" ht="15" hidden="false" customHeight="false" outlineLevel="0" collapsed="false">
      <c r="A424" s="70" t="s">
        <v>459</v>
      </c>
      <c r="B424" s="71" t="s">
        <v>466</v>
      </c>
      <c r="C424" s="70" t="s">
        <v>172</v>
      </c>
      <c r="D424" s="72" t="s">
        <v>196</v>
      </c>
      <c r="E424" s="73" t="n">
        <v>207987</v>
      </c>
      <c r="F424" s="73" t="n">
        <v>207987</v>
      </c>
      <c r="G424" s="73" t="n">
        <v>207987</v>
      </c>
      <c r="H424" s="73" t="n">
        <v>441972</v>
      </c>
      <c r="I424" s="73" t="s">
        <v>437</v>
      </c>
      <c r="J424" s="70"/>
      <c r="K424" s="70"/>
      <c r="L424" s="70"/>
      <c r="M424" s="70"/>
    </row>
    <row r="425" customFormat="false" ht="15" hidden="false" customHeight="false" outlineLevel="0" collapsed="false">
      <c r="A425" s="70" t="s">
        <v>459</v>
      </c>
      <c r="B425" s="71"/>
      <c r="C425" s="70" t="s">
        <v>175</v>
      </c>
      <c r="D425" s="72"/>
      <c r="E425" s="73"/>
      <c r="F425" s="73"/>
      <c r="G425" s="73"/>
      <c r="H425" s="73"/>
      <c r="I425" s="73"/>
      <c r="J425" s="70"/>
      <c r="K425" s="70"/>
      <c r="L425" s="70"/>
      <c r="M425" s="70"/>
    </row>
    <row r="426" customFormat="false" ht="15" hidden="false" customHeight="false" outlineLevel="0" collapsed="false">
      <c r="A426" s="70" t="s">
        <v>459</v>
      </c>
      <c r="B426" s="71" t="s">
        <v>467</v>
      </c>
      <c r="C426" s="70" t="s">
        <v>172</v>
      </c>
      <c r="D426" s="72" t="s">
        <v>196</v>
      </c>
      <c r="E426" s="73" t="n">
        <v>453931</v>
      </c>
      <c r="F426" s="73" t="n">
        <v>556364</v>
      </c>
      <c r="G426" s="73" t="n">
        <v>613561</v>
      </c>
      <c r="H426" s="73"/>
      <c r="I426" s="73" t="s">
        <v>241</v>
      </c>
      <c r="J426" s="70" t="n">
        <v>1055532</v>
      </c>
      <c r="K426" s="73" t="s">
        <v>174</v>
      </c>
      <c r="L426" s="70"/>
      <c r="M426" s="70"/>
    </row>
    <row r="427" customFormat="false" ht="15" hidden="false" customHeight="false" outlineLevel="0" collapsed="false">
      <c r="A427" s="70" t="s">
        <v>459</v>
      </c>
      <c r="B427" s="71"/>
      <c r="C427" s="70" t="s">
        <v>175</v>
      </c>
      <c r="D427" s="72"/>
      <c r="E427" s="73"/>
      <c r="F427" s="73"/>
      <c r="G427" s="73"/>
      <c r="H427" s="73"/>
      <c r="I427" s="73"/>
      <c r="J427" s="70"/>
      <c r="K427" s="70"/>
      <c r="L427" s="70"/>
      <c r="M427" s="70"/>
    </row>
    <row r="428" customFormat="false" ht="15" hidden="false" customHeight="false" outlineLevel="0" collapsed="false">
      <c r="A428" s="70" t="s">
        <v>459</v>
      </c>
      <c r="B428" s="71" t="s">
        <v>468</v>
      </c>
      <c r="C428" s="70" t="s">
        <v>172</v>
      </c>
      <c r="D428" s="72" t="s">
        <v>196</v>
      </c>
      <c r="E428" s="73" t="n">
        <v>842346</v>
      </c>
      <c r="F428" s="73" t="n">
        <v>857945</v>
      </c>
      <c r="G428" s="73" t="n">
        <v>909942</v>
      </c>
      <c r="H428" s="73" t="n">
        <v>1403910</v>
      </c>
      <c r="I428" s="73" t="s">
        <v>253</v>
      </c>
      <c r="J428" s="70"/>
      <c r="K428" s="73" t="s">
        <v>174</v>
      </c>
      <c r="L428" s="70"/>
      <c r="M428" s="70"/>
    </row>
    <row r="429" customFormat="false" ht="15" hidden="false" customHeight="false" outlineLevel="0" collapsed="false">
      <c r="A429" s="70" t="s">
        <v>459</v>
      </c>
      <c r="B429" s="71"/>
      <c r="C429" s="70" t="s">
        <v>175</v>
      </c>
      <c r="D429" s="72"/>
      <c r="E429" s="73"/>
      <c r="F429" s="73"/>
      <c r="G429" s="73"/>
      <c r="H429" s="73"/>
      <c r="I429" s="73"/>
      <c r="J429" s="70"/>
      <c r="K429" s="70"/>
      <c r="L429" s="70"/>
      <c r="M429" s="70"/>
    </row>
    <row r="430" customFormat="false" ht="15" hidden="false" customHeight="false" outlineLevel="0" collapsed="false">
      <c r="A430" s="70" t="s">
        <v>459</v>
      </c>
      <c r="B430" s="71" t="s">
        <v>469</v>
      </c>
      <c r="C430" s="70" t="s">
        <v>172</v>
      </c>
      <c r="D430" s="72" t="s">
        <v>196</v>
      </c>
      <c r="E430" s="73"/>
      <c r="F430" s="73" t="n">
        <v>3397463</v>
      </c>
      <c r="G430" s="73"/>
      <c r="H430" s="73" t="n">
        <v>4141535</v>
      </c>
      <c r="I430" s="73"/>
      <c r="J430" s="70"/>
      <c r="K430" s="70" t="n">
        <v>67596</v>
      </c>
      <c r="L430" s="70"/>
      <c r="M430" s="70"/>
    </row>
    <row r="431" customFormat="false" ht="15" hidden="false" customHeight="false" outlineLevel="0" collapsed="false">
      <c r="A431" s="70" t="s">
        <v>459</v>
      </c>
      <c r="B431" s="71"/>
      <c r="C431" s="70" t="s">
        <v>175</v>
      </c>
      <c r="D431" s="72"/>
      <c r="E431" s="73"/>
      <c r="F431" s="73"/>
      <c r="G431" s="73"/>
      <c r="H431" s="73"/>
      <c r="I431" s="73"/>
      <c r="J431" s="70"/>
      <c r="K431" s="70"/>
      <c r="L431" s="70"/>
      <c r="M431" s="70"/>
    </row>
    <row r="432" customFormat="false" ht="15" hidden="false" customHeight="false" outlineLevel="0" collapsed="false">
      <c r="A432" s="70" t="s">
        <v>470</v>
      </c>
      <c r="B432" s="71" t="s">
        <v>471</v>
      </c>
      <c r="C432" s="70" t="s">
        <v>172</v>
      </c>
      <c r="D432" s="72" t="s">
        <v>196</v>
      </c>
      <c r="E432" s="73" t="n">
        <v>252704</v>
      </c>
      <c r="F432" s="73" t="n">
        <v>276102</v>
      </c>
      <c r="G432" s="73" t="n">
        <v>389975</v>
      </c>
      <c r="H432" s="73" t="n">
        <v>389975</v>
      </c>
      <c r="I432" s="73" t="s">
        <v>437</v>
      </c>
      <c r="J432" s="73" t="n">
        <v>389975</v>
      </c>
      <c r="K432" s="70" t="s">
        <v>174</v>
      </c>
      <c r="L432" s="70"/>
      <c r="M432" s="70"/>
    </row>
    <row r="433" customFormat="false" ht="15" hidden="false" customHeight="false" outlineLevel="0" collapsed="false">
      <c r="A433" s="70" t="s">
        <v>470</v>
      </c>
      <c r="B433" s="71"/>
      <c r="C433" s="70" t="s">
        <v>175</v>
      </c>
      <c r="D433" s="72"/>
      <c r="E433" s="73"/>
      <c r="F433" s="73"/>
      <c r="G433" s="73"/>
      <c r="H433" s="73"/>
      <c r="I433" s="73"/>
      <c r="J433" s="70"/>
      <c r="K433" s="70"/>
      <c r="L433" s="70"/>
      <c r="M433" s="70"/>
    </row>
    <row r="434" customFormat="false" ht="15" hidden="false" customHeight="false" outlineLevel="0" collapsed="false">
      <c r="A434" s="70" t="s">
        <v>470</v>
      </c>
      <c r="B434" s="71" t="s">
        <v>472</v>
      </c>
      <c r="C434" s="70" t="s">
        <v>172</v>
      </c>
      <c r="D434" s="72" t="s">
        <v>196</v>
      </c>
      <c r="E434" s="73" t="n">
        <v>514767</v>
      </c>
      <c r="F434" s="73" t="n">
        <v>514767</v>
      </c>
      <c r="G434" s="73" t="n">
        <v>514767</v>
      </c>
      <c r="H434" s="73" t="n">
        <v>1029534</v>
      </c>
      <c r="I434" s="73" t="s">
        <v>437</v>
      </c>
      <c r="J434" s="70"/>
      <c r="K434" s="73" t="s">
        <v>174</v>
      </c>
      <c r="L434" s="70"/>
      <c r="M434" s="70"/>
    </row>
    <row r="435" customFormat="false" ht="15" hidden="false" customHeight="false" outlineLevel="0" collapsed="false">
      <c r="A435" s="70" t="s">
        <v>470</v>
      </c>
      <c r="B435" s="71"/>
      <c r="C435" s="70" t="s">
        <v>175</v>
      </c>
      <c r="D435" s="72"/>
      <c r="E435" s="73"/>
      <c r="F435" s="73"/>
      <c r="G435" s="73"/>
      <c r="H435" s="73"/>
      <c r="I435" s="73"/>
      <c r="J435" s="70"/>
      <c r="K435" s="70"/>
      <c r="L435" s="70"/>
      <c r="M435" s="70"/>
    </row>
    <row r="436" customFormat="false" ht="15" hidden="false" customHeight="false" outlineLevel="0" collapsed="false">
      <c r="A436" s="70" t="s">
        <v>470</v>
      </c>
      <c r="B436" s="71" t="s">
        <v>473</v>
      </c>
      <c r="C436" s="70" t="s">
        <v>172</v>
      </c>
      <c r="D436" s="72" t="s">
        <v>196</v>
      </c>
      <c r="E436" s="73"/>
      <c r="F436" s="73" t="n">
        <v>405574</v>
      </c>
      <c r="G436" s="73" t="n">
        <v>405574</v>
      </c>
      <c r="H436" s="73" t="n">
        <v>509574</v>
      </c>
      <c r="I436" s="73" t="s">
        <v>241</v>
      </c>
      <c r="J436" s="70"/>
      <c r="K436" s="73" t="n">
        <v>36398</v>
      </c>
      <c r="L436" s="70"/>
      <c r="M436" s="70"/>
    </row>
    <row r="437" customFormat="false" ht="15" hidden="false" customHeight="false" outlineLevel="0" collapsed="false">
      <c r="A437" s="70" t="s">
        <v>470</v>
      </c>
      <c r="B437" s="71"/>
      <c r="C437" s="70" t="s">
        <v>175</v>
      </c>
      <c r="D437" s="72"/>
      <c r="E437" s="73"/>
      <c r="F437" s="73"/>
      <c r="G437" s="73"/>
      <c r="H437" s="73"/>
      <c r="I437" s="73"/>
      <c r="J437" s="70"/>
      <c r="K437" s="70"/>
      <c r="L437" s="70"/>
      <c r="M437" s="70"/>
    </row>
    <row r="438" customFormat="false" ht="15" hidden="false" customHeight="false" outlineLevel="0" collapsed="false">
      <c r="A438" s="70" t="s">
        <v>470</v>
      </c>
      <c r="B438" s="71" t="s">
        <v>474</v>
      </c>
      <c r="C438" s="70" t="s">
        <v>172</v>
      </c>
      <c r="D438" s="72" t="s">
        <v>196</v>
      </c>
      <c r="E438" s="73"/>
      <c r="F438" s="73" t="n">
        <v>405574</v>
      </c>
      <c r="G438" s="73" t="n">
        <v>405574</v>
      </c>
      <c r="H438" s="73" t="n">
        <v>509567</v>
      </c>
      <c r="I438" s="73" t="s">
        <v>241</v>
      </c>
      <c r="J438" s="70"/>
      <c r="K438" s="73" t="n">
        <v>36398</v>
      </c>
      <c r="L438" s="70"/>
      <c r="M438" s="70"/>
    </row>
    <row r="439" customFormat="false" ht="15" hidden="false" customHeight="false" outlineLevel="0" collapsed="false">
      <c r="A439" s="70" t="s">
        <v>470</v>
      </c>
      <c r="B439" s="71"/>
      <c r="C439" s="70" t="s">
        <v>175</v>
      </c>
      <c r="D439" s="72"/>
      <c r="E439" s="73"/>
      <c r="F439" s="73"/>
      <c r="G439" s="73"/>
      <c r="H439" s="73"/>
      <c r="I439" s="73"/>
      <c r="J439" s="70"/>
      <c r="K439" s="70"/>
      <c r="L439" s="70"/>
      <c r="M439" s="70"/>
    </row>
    <row r="440" customFormat="false" ht="15" hidden="false" customHeight="false" outlineLevel="0" collapsed="false">
      <c r="A440" s="70" t="s">
        <v>470</v>
      </c>
      <c r="B440" s="71" t="s">
        <v>475</v>
      </c>
      <c r="C440" s="70" t="s">
        <v>172</v>
      </c>
      <c r="D440" s="72" t="s">
        <v>196</v>
      </c>
      <c r="E440" s="73" t="n">
        <v>437292</v>
      </c>
      <c r="F440" s="73" t="n">
        <v>504368</v>
      </c>
      <c r="G440" s="73" t="n">
        <v>504368</v>
      </c>
      <c r="H440" s="73" t="n">
        <v>582363</v>
      </c>
      <c r="I440" s="73" t="s">
        <v>437</v>
      </c>
      <c r="J440" s="70"/>
      <c r="K440" s="73" t="s">
        <v>174</v>
      </c>
      <c r="L440" s="70"/>
      <c r="M440" s="70"/>
    </row>
    <row r="441" customFormat="false" ht="15" hidden="false" customHeight="false" outlineLevel="0" collapsed="false">
      <c r="A441" s="70" t="s">
        <v>470</v>
      </c>
      <c r="B441" s="71"/>
      <c r="C441" s="70" t="s">
        <v>175</v>
      </c>
      <c r="D441" s="72"/>
      <c r="E441" s="73"/>
      <c r="F441" s="73"/>
      <c r="G441" s="73"/>
      <c r="H441" s="73"/>
      <c r="I441" s="73"/>
      <c r="J441" s="70"/>
      <c r="K441" s="70"/>
      <c r="L441" s="70"/>
      <c r="M441" s="70"/>
    </row>
    <row r="442" customFormat="false" ht="15" hidden="false" customHeight="false" outlineLevel="0" collapsed="false">
      <c r="A442" s="70" t="s">
        <v>476</v>
      </c>
      <c r="B442" s="71" t="s">
        <v>477</v>
      </c>
      <c r="C442" s="70" t="s">
        <v>172</v>
      </c>
      <c r="D442" s="72" t="s">
        <v>196</v>
      </c>
      <c r="E442" s="73" t="n">
        <v>595986</v>
      </c>
      <c r="F442" s="73" t="n">
        <v>595986</v>
      </c>
      <c r="G442" s="73" t="n">
        <v>595986</v>
      </c>
      <c r="H442" s="73" t="n">
        <v>730605</v>
      </c>
      <c r="I442" s="73" t="s">
        <v>437</v>
      </c>
      <c r="J442" s="70"/>
      <c r="K442" s="73" t="n">
        <v>31198</v>
      </c>
      <c r="L442" s="70"/>
      <c r="M442" s="70"/>
    </row>
    <row r="443" customFormat="false" ht="15" hidden="false" customHeight="false" outlineLevel="0" collapsed="false">
      <c r="A443" s="70" t="s">
        <v>476</v>
      </c>
      <c r="B443" s="71"/>
      <c r="C443" s="70" t="s">
        <v>175</v>
      </c>
      <c r="D443" s="72"/>
      <c r="E443" s="73"/>
      <c r="F443" s="73"/>
      <c r="G443" s="73"/>
      <c r="H443" s="73"/>
      <c r="I443" s="73"/>
      <c r="J443" s="70"/>
      <c r="K443" s="70"/>
      <c r="L443" s="70"/>
      <c r="M443" s="70"/>
    </row>
    <row r="444" customFormat="false" ht="15" hidden="false" customHeight="false" outlineLevel="0" collapsed="false">
      <c r="A444" s="70" t="s">
        <v>476</v>
      </c>
      <c r="B444" s="71" t="s">
        <v>478</v>
      </c>
      <c r="C444" s="70" t="s">
        <v>172</v>
      </c>
      <c r="D444" s="72" t="s">
        <v>196</v>
      </c>
      <c r="E444" s="73" t="n">
        <v>446132</v>
      </c>
      <c r="F444" s="73" t="n">
        <v>496829</v>
      </c>
      <c r="G444" s="73" t="n">
        <v>501898</v>
      </c>
      <c r="H444" s="73" t="n">
        <v>1211652</v>
      </c>
      <c r="I444" s="73" t="s">
        <v>241</v>
      </c>
      <c r="J444" s="70"/>
      <c r="K444" s="73" t="n">
        <v>41597</v>
      </c>
      <c r="L444" s="70"/>
      <c r="M444" s="70"/>
    </row>
    <row r="445" customFormat="false" ht="15" hidden="false" customHeight="false" outlineLevel="0" collapsed="false">
      <c r="A445" s="70" t="s">
        <v>476</v>
      </c>
      <c r="B445" s="71"/>
      <c r="C445" s="70" t="s">
        <v>175</v>
      </c>
      <c r="D445" s="72"/>
      <c r="E445" s="73"/>
      <c r="F445" s="73"/>
      <c r="G445" s="73"/>
      <c r="H445" s="73"/>
      <c r="I445" s="73"/>
      <c r="J445" s="70"/>
      <c r="K445" s="70"/>
      <c r="L445" s="70"/>
      <c r="M445" s="70"/>
    </row>
    <row r="446" customFormat="false" ht="15" hidden="false" customHeight="false" outlineLevel="0" collapsed="false">
      <c r="A446" s="70" t="s">
        <v>479</v>
      </c>
      <c r="B446" s="70" t="s">
        <v>480</v>
      </c>
      <c r="C446" s="70"/>
      <c r="D446" s="72"/>
      <c r="E446" s="73"/>
      <c r="F446" s="73"/>
      <c r="G446" s="73"/>
      <c r="H446" s="73"/>
      <c r="I446" s="73"/>
      <c r="J446" s="70"/>
      <c r="K446" s="70"/>
      <c r="L446" s="70"/>
      <c r="M446" s="7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97D"/>
    <pageSetUpPr fitToPage="false"/>
  </sheetPr>
  <dimension ref="A1:M50"/>
  <sheetViews>
    <sheetView showFormulas="false" showGridLines="true" showRowColHeaders="true" showZeros="true" rightToLeft="false" tabSelected="false" showOutlineSymbols="true" defaultGridColor="true" view="normal" topLeftCell="A4" colorId="64" zoomScale="80" zoomScaleNormal="80" zoomScalePageLayoutView="100" workbookViewId="0">
      <pane xSplit="4" ySplit="3" topLeftCell="E22" activePane="bottomRight" state="frozen"/>
      <selection pane="topLeft" activeCell="A4" activeCellId="0" sqref="A4"/>
      <selection pane="topRight" activeCell="E4" activeCellId="0" sqref="E4"/>
      <selection pane="bottomLeft" activeCell="A22" activeCellId="0" sqref="A22"/>
      <selection pane="bottomRight" activeCell="E49" activeCellId="0" sqref="E49"/>
    </sheetView>
  </sheetViews>
  <sheetFormatPr defaultColWidth="10.59765625" defaultRowHeight="15" zeroHeight="false" outlineLevelRow="0" outlineLevelCol="0"/>
  <cols>
    <col collapsed="false" customWidth="true" hidden="false" outlineLevel="0" max="1" min="1" style="0" width="9.43"/>
    <col collapsed="false" customWidth="true" hidden="false" outlineLevel="0" max="4" min="2" style="0" width="20.72"/>
    <col collapsed="false" customWidth="true" hidden="false" outlineLevel="0" max="5" min="5" style="0" width="25.43"/>
    <col collapsed="false" customWidth="true" hidden="false" outlineLevel="0" max="12" min="6" style="0" width="25.71"/>
  </cols>
  <sheetData>
    <row r="1" customFormat="false" ht="21" hidden="false" customHeight="true" outlineLevel="0" collapsed="false">
      <c r="A1" s="76" t="e">
        <f aca="false">'infos clients'!#ref!</f>
        <v>#VALUE!</v>
      </c>
    </row>
    <row r="3" customFormat="false" ht="15" hidden="false" customHeight="false" outlineLevel="0" collapsed="false">
      <c r="I3" s="77" t="s">
        <v>481</v>
      </c>
      <c r="J3" s="77"/>
    </row>
    <row r="4" customFormat="false" ht="15" hidden="false" customHeight="false" outlineLevel="0" collapsed="false">
      <c r="C4" s="78" t="s">
        <v>482</v>
      </c>
      <c r="D4" s="78"/>
      <c r="E4" s="79" t="s">
        <v>483</v>
      </c>
      <c r="F4" s="79"/>
      <c r="G4" s="79"/>
      <c r="H4" s="79"/>
      <c r="I4" s="80" t="s">
        <v>484</v>
      </c>
      <c r="J4" s="80"/>
      <c r="K4" s="81" t="s">
        <v>485</v>
      </c>
      <c r="L4" s="81"/>
    </row>
    <row r="5" customFormat="false" ht="15" hidden="false" customHeight="false" outlineLevel="0" collapsed="false">
      <c r="C5" s="78"/>
      <c r="D5" s="78"/>
      <c r="E5" s="79"/>
      <c r="F5" s="79"/>
      <c r="G5" s="79"/>
      <c r="H5" s="79"/>
      <c r="I5" s="80"/>
      <c r="J5" s="80"/>
      <c r="K5" s="81"/>
      <c r="L5" s="81"/>
    </row>
    <row r="6" customFormat="false" ht="15" hidden="false" customHeight="false" outlineLevel="0" collapsed="false">
      <c r="A6" s="82" t="s">
        <v>486</v>
      </c>
      <c r="B6" s="83" t="s">
        <v>487</v>
      </c>
      <c r="C6" s="84" t="s">
        <v>488</v>
      </c>
      <c r="D6" s="84" t="s">
        <v>489</v>
      </c>
      <c r="E6" s="85" t="s">
        <v>490</v>
      </c>
      <c r="F6" s="85" t="s">
        <v>36</v>
      </c>
      <c r="G6" s="85" t="s">
        <v>491</v>
      </c>
      <c r="H6" s="86" t="s">
        <v>492</v>
      </c>
      <c r="I6" s="87" t="s">
        <v>493</v>
      </c>
      <c r="J6" s="87" t="s">
        <v>494</v>
      </c>
      <c r="K6" s="88" t="s">
        <v>495</v>
      </c>
      <c r="L6" s="89" t="s">
        <v>496</v>
      </c>
    </row>
    <row r="7" customFormat="false" ht="15" hidden="false" customHeight="false" outlineLevel="0" collapsed="false">
      <c r="A7" s="90" t="n">
        <v>1</v>
      </c>
      <c r="B7" s="91"/>
      <c r="C7" s="92" t="s">
        <v>497</v>
      </c>
      <c r="D7" s="92" t="s">
        <v>227</v>
      </c>
      <c r="E7" s="75"/>
      <c r="F7" s="93"/>
      <c r="G7" s="93"/>
      <c r="H7" s="94"/>
      <c r="I7" s="75" t="n">
        <v>170</v>
      </c>
      <c r="J7" s="95" t="n">
        <v>40</v>
      </c>
      <c r="K7" s="94" t="n">
        <f aca="false">(I7+J7)*1.1*15%</f>
        <v>34.65</v>
      </c>
      <c r="L7" s="93" t="n">
        <f aca="false">K7*5200</f>
        <v>180180</v>
      </c>
      <c r="M7" s="96"/>
    </row>
    <row r="8" customFormat="false" ht="15" hidden="false" customHeight="false" outlineLevel="0" collapsed="false">
      <c r="A8" s="90" t="n">
        <v>2</v>
      </c>
      <c r="B8" s="91"/>
      <c r="C8" s="92" t="s">
        <v>498</v>
      </c>
      <c r="D8" s="92" t="s">
        <v>499</v>
      </c>
      <c r="E8" s="75"/>
      <c r="F8" s="93"/>
      <c r="G8" s="93"/>
      <c r="H8" s="94"/>
      <c r="I8" s="75"/>
      <c r="J8" s="95"/>
      <c r="K8" s="94" t="n">
        <f aca="false">(I8+J8)*1.1*15%</f>
        <v>0</v>
      </c>
      <c r="L8" s="93" t="n">
        <f aca="false">K8*5200</f>
        <v>0</v>
      </c>
      <c r="M8" s="96"/>
    </row>
    <row r="9" customFormat="false" ht="15" hidden="false" customHeight="false" outlineLevel="0" collapsed="false">
      <c r="A9" s="90" t="n">
        <v>3</v>
      </c>
      <c r="B9" s="91"/>
      <c r="C9" s="92"/>
      <c r="D9" s="92"/>
      <c r="E9" s="75"/>
      <c r="F9" s="93"/>
      <c r="G9" s="93"/>
      <c r="H9" s="94"/>
      <c r="I9" s="75"/>
      <c r="J9" s="95"/>
      <c r="K9" s="94" t="n">
        <f aca="false">(I9+J9)*1.1*15%</f>
        <v>0</v>
      </c>
      <c r="L9" s="93" t="n">
        <f aca="false">K9*5200</f>
        <v>0</v>
      </c>
    </row>
    <row r="10" customFormat="false" ht="15" hidden="false" customHeight="false" outlineLevel="0" collapsed="false">
      <c r="A10" s="90" t="n">
        <v>4</v>
      </c>
      <c r="B10" s="91"/>
      <c r="C10" s="92"/>
      <c r="D10" s="92"/>
      <c r="E10" s="75"/>
      <c r="F10" s="93"/>
      <c r="G10" s="93"/>
      <c r="H10" s="94"/>
      <c r="I10" s="75"/>
      <c r="J10" s="95"/>
      <c r="K10" s="94" t="n">
        <f aca="false">(I10+J10)*1.1*15%</f>
        <v>0</v>
      </c>
      <c r="L10" s="93" t="n">
        <f aca="false">K10*5200</f>
        <v>0</v>
      </c>
    </row>
    <row r="11" customFormat="false" ht="15" hidden="false" customHeight="false" outlineLevel="0" collapsed="false">
      <c r="A11" s="90" t="n">
        <v>5</v>
      </c>
      <c r="B11" s="91"/>
      <c r="C11" s="92"/>
      <c r="D11" s="92"/>
      <c r="E11" s="75"/>
      <c r="F11" s="93"/>
      <c r="G11" s="93"/>
      <c r="H11" s="94"/>
      <c r="I11" s="75"/>
      <c r="J11" s="95"/>
      <c r="K11" s="94" t="n">
        <f aca="false">(I11+J11)*1.1*15%</f>
        <v>0</v>
      </c>
      <c r="L11" s="93" t="n">
        <f aca="false">K11*5200</f>
        <v>0</v>
      </c>
    </row>
    <row r="12" customFormat="false" ht="15" hidden="false" customHeight="false" outlineLevel="0" collapsed="false">
      <c r="A12" s="90" t="n">
        <v>6</v>
      </c>
      <c r="B12" s="91"/>
      <c r="C12" s="92"/>
      <c r="D12" s="92"/>
      <c r="E12" s="75"/>
      <c r="F12" s="93"/>
      <c r="G12" s="93"/>
      <c r="H12" s="94"/>
      <c r="I12" s="75"/>
      <c r="J12" s="95"/>
      <c r="K12" s="94" t="n">
        <f aca="false">(I12+J12)*1.1*15%</f>
        <v>0</v>
      </c>
      <c r="L12" s="93" t="n">
        <f aca="false">K12*5200</f>
        <v>0</v>
      </c>
    </row>
    <row r="13" customFormat="false" ht="15" hidden="false" customHeight="false" outlineLevel="0" collapsed="false">
      <c r="A13" s="90" t="n">
        <v>7</v>
      </c>
      <c r="B13" s="91"/>
      <c r="C13" s="92"/>
      <c r="D13" s="92"/>
      <c r="E13" s="75"/>
      <c r="F13" s="93"/>
      <c r="G13" s="93"/>
      <c r="H13" s="94"/>
      <c r="I13" s="75"/>
      <c r="J13" s="95"/>
      <c r="K13" s="94" t="n">
        <f aca="false">(I13+J13)*1.1*15%</f>
        <v>0</v>
      </c>
      <c r="L13" s="93" t="n">
        <f aca="false">K13*5200</f>
        <v>0</v>
      </c>
    </row>
    <row r="14" customFormat="false" ht="15" hidden="false" customHeight="false" outlineLevel="0" collapsed="false">
      <c r="A14" s="90" t="n">
        <v>8</v>
      </c>
      <c r="B14" s="91"/>
      <c r="C14" s="92"/>
      <c r="D14" s="92"/>
      <c r="E14" s="75"/>
      <c r="F14" s="93"/>
      <c r="G14" s="93"/>
      <c r="H14" s="94"/>
      <c r="I14" s="75"/>
      <c r="J14" s="95"/>
      <c r="K14" s="94" t="n">
        <f aca="false">(I14+J14)*1.1*15%</f>
        <v>0</v>
      </c>
      <c r="L14" s="93" t="n">
        <f aca="false">K14*5200</f>
        <v>0</v>
      </c>
    </row>
    <row r="15" customFormat="false" ht="15" hidden="false" customHeight="false" outlineLevel="0" collapsed="false">
      <c r="A15" s="90" t="n">
        <v>9</v>
      </c>
      <c r="B15" s="91"/>
      <c r="C15" s="92"/>
      <c r="D15" s="92"/>
      <c r="E15" s="75"/>
      <c r="F15" s="93"/>
      <c r="G15" s="93"/>
      <c r="H15" s="94"/>
      <c r="I15" s="75"/>
      <c r="J15" s="95"/>
      <c r="K15" s="94" t="n">
        <f aca="false">(I15+J15)*1.1*15%</f>
        <v>0</v>
      </c>
      <c r="L15" s="93" t="n">
        <f aca="false">K15*5200</f>
        <v>0</v>
      </c>
    </row>
    <row r="16" customFormat="false" ht="15" hidden="false" customHeight="false" outlineLevel="0" collapsed="false">
      <c r="A16" s="90" t="n">
        <v>10</v>
      </c>
      <c r="B16" s="91"/>
      <c r="C16" s="92"/>
      <c r="D16" s="92"/>
      <c r="E16" s="75"/>
      <c r="F16" s="93"/>
      <c r="G16" s="93"/>
      <c r="H16" s="94"/>
      <c r="I16" s="75"/>
      <c r="J16" s="95"/>
      <c r="K16" s="94" t="n">
        <f aca="false">(I16+J16)*1.1*15%</f>
        <v>0</v>
      </c>
      <c r="L16" s="93" t="n">
        <f aca="false">K16*5200</f>
        <v>0</v>
      </c>
    </row>
    <row r="17" customFormat="false" ht="15" hidden="false" customHeight="false" outlineLevel="0" collapsed="false">
      <c r="A17" s="90" t="n">
        <v>11</v>
      </c>
      <c r="B17" s="91"/>
      <c r="C17" s="92"/>
      <c r="D17" s="92"/>
      <c r="E17" s="75"/>
      <c r="F17" s="93"/>
      <c r="G17" s="93"/>
      <c r="H17" s="94"/>
      <c r="I17" s="75"/>
      <c r="J17" s="95"/>
      <c r="K17" s="94" t="n">
        <f aca="false">(I17+J17)*1.1*15%</f>
        <v>0</v>
      </c>
      <c r="L17" s="93" t="n">
        <f aca="false">K17*5200</f>
        <v>0</v>
      </c>
    </row>
    <row r="18" customFormat="false" ht="15" hidden="false" customHeight="false" outlineLevel="0" collapsed="false">
      <c r="A18" s="90" t="n">
        <v>12</v>
      </c>
      <c r="B18" s="91"/>
      <c r="C18" s="92"/>
      <c r="D18" s="92"/>
      <c r="E18" s="75"/>
      <c r="F18" s="93"/>
      <c r="G18" s="93"/>
      <c r="H18" s="94"/>
      <c r="I18" s="75"/>
      <c r="J18" s="95"/>
      <c r="K18" s="94" t="n">
        <f aca="false">(I18+J18)*1.1*15%</f>
        <v>0</v>
      </c>
      <c r="L18" s="93" t="n">
        <f aca="false">K18*5200</f>
        <v>0</v>
      </c>
    </row>
    <row r="19" customFormat="false" ht="15" hidden="false" customHeight="false" outlineLevel="0" collapsed="false">
      <c r="A19" s="90" t="n">
        <v>13</v>
      </c>
      <c r="B19" s="91"/>
      <c r="C19" s="92"/>
      <c r="D19" s="92"/>
      <c r="E19" s="75"/>
      <c r="F19" s="93"/>
      <c r="G19" s="93"/>
      <c r="H19" s="94"/>
      <c r="I19" s="75"/>
      <c r="J19" s="95"/>
      <c r="K19" s="94" t="n">
        <f aca="false">(I19+J19)*1.1*15%</f>
        <v>0</v>
      </c>
      <c r="L19" s="93" t="n">
        <f aca="false">K19*5200</f>
        <v>0</v>
      </c>
    </row>
    <row r="20" customFormat="false" ht="15" hidden="false" customHeight="false" outlineLevel="0" collapsed="false">
      <c r="A20" s="90" t="n">
        <v>14</v>
      </c>
      <c r="B20" s="91"/>
      <c r="C20" s="92"/>
      <c r="D20" s="92"/>
      <c r="E20" s="75"/>
      <c r="F20" s="93"/>
      <c r="G20" s="93"/>
      <c r="H20" s="94"/>
      <c r="I20" s="75"/>
      <c r="J20" s="95"/>
      <c r="K20" s="94" t="n">
        <f aca="false">(I20+J20)*1.1*15%</f>
        <v>0</v>
      </c>
      <c r="L20" s="93" t="n">
        <f aca="false">K20*5200</f>
        <v>0</v>
      </c>
    </row>
    <row r="21" customFormat="false" ht="15" hidden="false" customHeight="false" outlineLevel="0" collapsed="false">
      <c r="A21" s="90" t="n">
        <v>15</v>
      </c>
      <c r="B21" s="91"/>
      <c r="C21" s="92"/>
      <c r="D21" s="92"/>
      <c r="E21" s="75"/>
      <c r="F21" s="93"/>
      <c r="G21" s="93"/>
      <c r="H21" s="94"/>
      <c r="I21" s="75"/>
      <c r="J21" s="95"/>
      <c r="K21" s="94" t="n">
        <f aca="false">(I21+J21)*1.1*15%</f>
        <v>0</v>
      </c>
      <c r="L21" s="93" t="n">
        <f aca="false">K21*5200</f>
        <v>0</v>
      </c>
    </row>
    <row r="22" customFormat="false" ht="15" hidden="false" customHeight="false" outlineLevel="0" collapsed="false">
      <c r="A22" s="90" t="n">
        <v>16</v>
      </c>
      <c r="B22" s="91"/>
      <c r="C22" s="97"/>
      <c r="D22" s="92"/>
      <c r="E22" s="75"/>
      <c r="F22" s="93"/>
      <c r="G22" s="93"/>
      <c r="H22" s="94"/>
      <c r="I22" s="75"/>
      <c r="J22" s="95"/>
      <c r="K22" s="94" t="n">
        <f aca="false">(I22+J22)*1.1*15%</f>
        <v>0</v>
      </c>
      <c r="L22" s="93" t="n">
        <f aca="false">K22*5200</f>
        <v>0</v>
      </c>
    </row>
    <row r="23" customFormat="false" ht="15" hidden="false" customHeight="false" outlineLevel="0" collapsed="false">
      <c r="A23" s="90" t="n">
        <v>17</v>
      </c>
      <c r="B23" s="91"/>
      <c r="C23" s="97"/>
      <c r="D23" s="92"/>
      <c r="E23" s="75"/>
      <c r="F23" s="93"/>
      <c r="G23" s="93"/>
      <c r="H23" s="94"/>
      <c r="I23" s="75"/>
      <c r="J23" s="95"/>
      <c r="K23" s="94" t="n">
        <f aca="false">(I23+J23)*1.1*15%</f>
        <v>0</v>
      </c>
      <c r="L23" s="93" t="n">
        <f aca="false">K23*5200</f>
        <v>0</v>
      </c>
    </row>
    <row r="24" customFormat="false" ht="15" hidden="false" customHeight="false" outlineLevel="0" collapsed="false">
      <c r="A24" s="90" t="n">
        <v>18</v>
      </c>
      <c r="B24" s="91"/>
      <c r="C24" s="97"/>
      <c r="D24" s="92"/>
      <c r="E24" s="75"/>
      <c r="F24" s="93"/>
      <c r="G24" s="93"/>
      <c r="H24" s="94"/>
      <c r="I24" s="75"/>
      <c r="J24" s="95"/>
      <c r="K24" s="94" t="n">
        <f aca="false">(I24+J24)*1.1*15%</f>
        <v>0</v>
      </c>
      <c r="L24" s="93" t="n">
        <f aca="false">K24*5200</f>
        <v>0</v>
      </c>
    </row>
    <row r="25" customFormat="false" ht="15" hidden="false" customHeight="false" outlineLevel="0" collapsed="false">
      <c r="A25" s="90" t="n">
        <v>19</v>
      </c>
      <c r="B25" s="91"/>
      <c r="C25" s="97"/>
      <c r="D25" s="92"/>
      <c r="E25" s="75"/>
      <c r="F25" s="93"/>
      <c r="G25" s="93"/>
      <c r="H25" s="94"/>
      <c r="I25" s="75"/>
      <c r="J25" s="95"/>
      <c r="K25" s="94" t="n">
        <f aca="false">(I25+J25)*1.1*15%</f>
        <v>0</v>
      </c>
      <c r="L25" s="93" t="n">
        <f aca="false">K25*5200</f>
        <v>0</v>
      </c>
    </row>
    <row r="26" customFormat="false" ht="15" hidden="false" customHeight="false" outlineLevel="0" collapsed="false">
      <c r="A26" s="90" t="n">
        <v>20</v>
      </c>
      <c r="B26" s="91"/>
      <c r="C26" s="97"/>
      <c r="D26" s="92"/>
      <c r="E26" s="75"/>
      <c r="F26" s="93"/>
      <c r="G26" s="93"/>
      <c r="H26" s="94"/>
      <c r="I26" s="75"/>
      <c r="J26" s="95"/>
      <c r="K26" s="94" t="n">
        <f aca="false">(I26+J26)*1.1*15%</f>
        <v>0</v>
      </c>
      <c r="L26" s="93" t="n">
        <f aca="false">K26*5200</f>
        <v>0</v>
      </c>
    </row>
    <row r="27" customFormat="false" ht="15" hidden="false" customHeight="false" outlineLevel="0" collapsed="false">
      <c r="A27" s="90" t="n">
        <v>21</v>
      </c>
      <c r="B27" s="91"/>
      <c r="C27" s="97"/>
      <c r="D27" s="92"/>
      <c r="E27" s="75"/>
      <c r="F27" s="93"/>
      <c r="G27" s="93"/>
      <c r="H27" s="94"/>
      <c r="I27" s="75"/>
      <c r="J27" s="95"/>
      <c r="K27" s="94" t="n">
        <f aca="false">(I27+J27)*1.1*15%</f>
        <v>0</v>
      </c>
      <c r="L27" s="93" t="n">
        <f aca="false">K27*5200</f>
        <v>0</v>
      </c>
    </row>
    <row r="28" customFormat="false" ht="15" hidden="false" customHeight="false" outlineLevel="0" collapsed="false">
      <c r="A28" s="90" t="n">
        <v>22</v>
      </c>
      <c r="B28" s="91"/>
      <c r="C28" s="97"/>
      <c r="D28" s="92"/>
      <c r="E28" s="75"/>
      <c r="F28" s="93"/>
      <c r="G28" s="93"/>
      <c r="H28" s="94"/>
      <c r="I28" s="75"/>
      <c r="J28" s="95"/>
      <c r="K28" s="94" t="n">
        <f aca="false">(I28+J28)*1.1*15%</f>
        <v>0</v>
      </c>
      <c r="L28" s="93" t="n">
        <f aca="false">K28*5200</f>
        <v>0</v>
      </c>
    </row>
    <row r="29" customFormat="false" ht="15" hidden="false" customHeight="false" outlineLevel="0" collapsed="false">
      <c r="A29" s="90" t="n">
        <v>23</v>
      </c>
      <c r="B29" s="91"/>
      <c r="C29" s="97"/>
      <c r="D29" s="92"/>
      <c r="E29" s="75"/>
      <c r="F29" s="93"/>
      <c r="G29" s="93"/>
      <c r="H29" s="94"/>
      <c r="I29" s="75"/>
      <c r="J29" s="95"/>
      <c r="K29" s="94" t="n">
        <f aca="false">(I29+J29)*1.1*15%</f>
        <v>0</v>
      </c>
      <c r="L29" s="93" t="n">
        <f aca="false">K29*5200</f>
        <v>0</v>
      </c>
    </row>
    <row r="30" customFormat="false" ht="15" hidden="false" customHeight="false" outlineLevel="0" collapsed="false">
      <c r="A30" s="90" t="n">
        <v>24</v>
      </c>
      <c r="B30" s="91"/>
      <c r="C30" s="97"/>
      <c r="D30" s="92"/>
      <c r="E30" s="75"/>
      <c r="F30" s="93"/>
      <c r="G30" s="93"/>
      <c r="H30" s="94"/>
      <c r="I30" s="75"/>
      <c r="J30" s="95"/>
      <c r="K30" s="94" t="n">
        <f aca="false">(I30+J30)*1.1*15%</f>
        <v>0</v>
      </c>
      <c r="L30" s="93" t="n">
        <f aca="false">K30*5200</f>
        <v>0</v>
      </c>
    </row>
    <row r="31" customFormat="false" ht="15" hidden="false" customHeight="false" outlineLevel="0" collapsed="false">
      <c r="A31" s="90" t="n">
        <v>25</v>
      </c>
      <c r="B31" s="91"/>
      <c r="C31" s="97"/>
      <c r="D31" s="92"/>
      <c r="E31" s="75"/>
      <c r="F31" s="93"/>
      <c r="G31" s="93"/>
      <c r="H31" s="94"/>
      <c r="I31" s="75"/>
      <c r="J31" s="95"/>
      <c r="K31" s="94" t="n">
        <f aca="false">(I31+J31)*1.1*15%</f>
        <v>0</v>
      </c>
      <c r="L31" s="93" t="n">
        <f aca="false">K31*5200</f>
        <v>0</v>
      </c>
    </row>
    <row r="32" customFormat="false" ht="15" hidden="false" customHeight="false" outlineLevel="0" collapsed="false">
      <c r="A32" s="90" t="n">
        <v>26</v>
      </c>
      <c r="B32" s="91"/>
      <c r="C32" s="97"/>
      <c r="D32" s="92"/>
      <c r="E32" s="75"/>
      <c r="F32" s="93"/>
      <c r="G32" s="93"/>
      <c r="H32" s="94"/>
      <c r="I32" s="75"/>
      <c r="J32" s="95"/>
      <c r="K32" s="94" t="n">
        <f aca="false">(I32+J32)*1.1*15%</f>
        <v>0</v>
      </c>
      <c r="L32" s="93" t="n">
        <f aca="false">K32*5200</f>
        <v>0</v>
      </c>
    </row>
    <row r="33" customFormat="false" ht="15" hidden="false" customHeight="false" outlineLevel="0" collapsed="false">
      <c r="A33" s="90" t="n">
        <v>27</v>
      </c>
      <c r="B33" s="91"/>
      <c r="C33" s="97"/>
      <c r="D33" s="92"/>
      <c r="E33" s="75"/>
      <c r="F33" s="93"/>
      <c r="G33" s="93"/>
      <c r="H33" s="94"/>
      <c r="I33" s="75"/>
      <c r="J33" s="95"/>
      <c r="K33" s="94" t="n">
        <f aca="false">(I33+J33)*1.1*15%</f>
        <v>0</v>
      </c>
      <c r="L33" s="93" t="n">
        <f aca="false">K33*5200</f>
        <v>0</v>
      </c>
    </row>
    <row r="34" customFormat="false" ht="15" hidden="false" customHeight="false" outlineLevel="0" collapsed="false">
      <c r="A34" s="90" t="n">
        <v>28</v>
      </c>
      <c r="B34" s="91"/>
      <c r="C34" s="97"/>
      <c r="D34" s="92"/>
      <c r="E34" s="75"/>
      <c r="F34" s="93"/>
      <c r="G34" s="93"/>
      <c r="H34" s="94"/>
      <c r="I34" s="75"/>
      <c r="J34" s="95"/>
      <c r="K34" s="94" t="n">
        <f aca="false">(I34+J34)*1.1*15%</f>
        <v>0</v>
      </c>
      <c r="L34" s="93" t="n">
        <f aca="false">K34*5200</f>
        <v>0</v>
      </c>
    </row>
    <row r="35" customFormat="false" ht="15" hidden="false" customHeight="false" outlineLevel="0" collapsed="false">
      <c r="A35" s="90" t="n">
        <v>29</v>
      </c>
      <c r="B35" s="91"/>
      <c r="C35" s="97"/>
      <c r="D35" s="92"/>
      <c r="E35" s="75"/>
      <c r="F35" s="93"/>
      <c r="G35" s="93"/>
      <c r="H35" s="94"/>
      <c r="I35" s="75"/>
      <c r="J35" s="95"/>
      <c r="K35" s="94" t="n">
        <f aca="false">(I35+J35)*1.1*15%</f>
        <v>0</v>
      </c>
      <c r="L35" s="93" t="n">
        <f aca="false">K35*5200</f>
        <v>0</v>
      </c>
    </row>
    <row r="36" customFormat="false" ht="15" hidden="false" customHeight="false" outlineLevel="0" collapsed="false">
      <c r="A36" s="90" t="n">
        <v>30</v>
      </c>
      <c r="B36" s="91"/>
      <c r="C36" s="97"/>
      <c r="D36" s="92"/>
      <c r="E36" s="75"/>
      <c r="F36" s="93"/>
      <c r="G36" s="93"/>
      <c r="H36" s="94"/>
      <c r="I36" s="75"/>
      <c r="J36" s="95"/>
      <c r="K36" s="94" t="n">
        <f aca="false">(I36+J36)*1.1*15%</f>
        <v>0</v>
      </c>
      <c r="L36" s="93" t="n">
        <f aca="false">K36*5200</f>
        <v>0</v>
      </c>
    </row>
    <row r="37" customFormat="false" ht="15" hidden="false" customHeight="false" outlineLevel="0" collapsed="false">
      <c r="E37" s="77"/>
      <c r="F37" s="98"/>
      <c r="G37" s="98"/>
      <c r="H37" s="94" t="n">
        <f aca="false">SUM(H7:H36)</f>
        <v>0</v>
      </c>
      <c r="I37" s="93" t="n">
        <f aca="false">SUM(I7:I36)</f>
        <v>170</v>
      </c>
      <c r="J37" s="93" t="n">
        <f aca="false">SUM(J7:J36)</f>
        <v>40</v>
      </c>
      <c r="K37" s="94" t="n">
        <f aca="false">(I37+J37)*1.1*15%</f>
        <v>34.65</v>
      </c>
      <c r="L37" s="93" t="n">
        <f aca="false">K37*5200</f>
        <v>180180</v>
      </c>
    </row>
    <row r="38" customFormat="false" ht="15" hidden="false" customHeight="true" outlineLevel="0" collapsed="false"/>
    <row r="39" customFormat="false" ht="24" hidden="false" customHeight="true" outlineLevel="0" collapsed="false">
      <c r="E39" s="99"/>
      <c r="F39" s="99"/>
      <c r="G39" s="99"/>
      <c r="H39" s="99"/>
      <c r="I39" s="100"/>
      <c r="J39" s="100"/>
      <c r="K39" s="101" t="s">
        <v>500</v>
      </c>
      <c r="L39" s="101"/>
    </row>
    <row r="40" customFormat="false" ht="31.5" hidden="false" customHeight="true" outlineLevel="0" collapsed="false">
      <c r="E40" s="99"/>
      <c r="F40" s="99"/>
      <c r="G40" s="99"/>
      <c r="H40" s="99"/>
      <c r="K40" s="102" t="n">
        <f aca="false">H37+L37</f>
        <v>180180</v>
      </c>
      <c r="L40" s="102"/>
    </row>
    <row r="41" customFormat="false" ht="15" hidden="false" customHeight="true" outlineLevel="0" collapsed="false"/>
    <row r="42" customFormat="false" ht="15" hidden="false" customHeight="true" outlineLevel="0" collapsed="false">
      <c r="E42" s="0" t="str">
        <f aca="false">E6</f>
        <v>Prestataire</v>
      </c>
      <c r="F42" s="0" t="s">
        <v>501</v>
      </c>
    </row>
    <row r="43" customFormat="false" ht="15" hidden="false" customHeight="true" outlineLevel="0" collapsed="false">
      <c r="E43" s="0" t="str">
        <f aca="false">F6</f>
        <v>Type de voiture</v>
      </c>
      <c r="F43" s="0" t="s">
        <v>502</v>
      </c>
    </row>
    <row r="44" customFormat="false" ht="15" hidden="false" customHeight="true" outlineLevel="0" collapsed="false">
      <c r="E44" s="0" t="str">
        <f aca="false">H6</f>
        <v>Location par jour</v>
      </c>
      <c r="F44" s="0" t="s">
        <v>503</v>
      </c>
    </row>
    <row r="45" customFormat="false" ht="15" hidden="false" customHeight="true" outlineLevel="0" collapsed="false">
      <c r="E45" s="0" t="str">
        <f aca="false">I6</f>
        <v>Distances étapes</v>
      </c>
      <c r="F45" s="0" t="s">
        <v>504</v>
      </c>
    </row>
    <row r="46" customFormat="false" ht="15" hidden="false" customHeight="true" outlineLevel="0" collapsed="false">
      <c r="E46" s="0" t="str">
        <f aca="false">J6</f>
        <v>Distances visites</v>
      </c>
      <c r="F46" s="0" t="s">
        <v>505</v>
      </c>
    </row>
    <row r="47" customFormat="false" ht="15" hidden="false" customHeight="true" outlineLevel="0" collapsed="false">
      <c r="E47" s="0" t="str">
        <f aca="false">K6</f>
        <v>Besoin en litre</v>
      </c>
      <c r="F47" s="0" t="s">
        <v>506</v>
      </c>
    </row>
    <row r="48" customFormat="false" ht="15" hidden="false" customHeight="true" outlineLevel="0" collapsed="false">
      <c r="E48" s="0" t="str">
        <f aca="false">L6</f>
        <v>Budget carburant</v>
      </c>
      <c r="F48" s="0" t="s">
        <v>507</v>
      </c>
    </row>
    <row r="50" customFormat="false" ht="15" hidden="false" customHeight="false" outlineLevel="0" collapsed="false">
      <c r="E50" s="0" t="s">
        <v>508</v>
      </c>
      <c r="F50" s="103" t="n">
        <v>0.15</v>
      </c>
    </row>
  </sheetData>
  <mergeCells count="8">
    <mergeCell ref="I3:J3"/>
    <mergeCell ref="C4:D5"/>
    <mergeCell ref="E4:H5"/>
    <mergeCell ref="I4:J5"/>
    <mergeCell ref="K4:L5"/>
    <mergeCell ref="I39:J39"/>
    <mergeCell ref="K39:L39"/>
    <mergeCell ref="K40:L40"/>
  </mergeCells>
  <dataValidations count="1">
    <dataValidation allowBlank="true" errorStyle="stop" operator="between" showDropDown="false" showErrorMessage="true" showInputMessage="true" sqref="F7:F37" type="list">
      <formula1>"Berline,4x4,SUV,minibus,Monospace,Bus"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48"/>
  <sheetViews>
    <sheetView showFormulas="false" showGridLines="true" showRowColHeaders="true" showZeros="true" rightToLeft="false" tabSelected="false" showOutlineSymbols="true" defaultGridColor="true" view="normal" topLeftCell="A1" colorId="64" zoomScale="60" zoomScaleNormal="60" zoomScalePageLayoutView="80" workbookViewId="0">
      <pane xSplit="5" ySplit="3" topLeftCell="F13" activePane="bottomRight" state="frozen"/>
      <selection pane="topLeft" activeCell="A1" activeCellId="0" sqref="A1"/>
      <selection pane="topRight" activeCell="F1" activeCellId="0" sqref="F1"/>
      <selection pane="bottomLeft" activeCell="A13" activeCellId="0" sqref="A13"/>
      <selection pane="bottomRight" activeCell="P42" activeCellId="0" sqref="P42"/>
    </sheetView>
  </sheetViews>
  <sheetFormatPr defaultColWidth="10.59765625" defaultRowHeight="15" zeroHeight="false" outlineLevelRow="0" outlineLevelCol="0"/>
  <cols>
    <col collapsed="false" customWidth="true" hidden="false" outlineLevel="0" max="2" min="2" style="0" width="26.71"/>
    <col collapsed="false" customWidth="true" hidden="false" outlineLevel="0" max="3" min="3" style="0" width="42.43"/>
    <col collapsed="false" customWidth="true" hidden="false" outlineLevel="0" max="4" min="4" style="0" width="41"/>
    <col collapsed="false" customWidth="true" hidden="false" outlineLevel="0" max="5" min="5" style="0" width="32.86"/>
    <col collapsed="false" customWidth="true" hidden="false" outlineLevel="0" max="6" min="6" style="0" width="16.29"/>
    <col collapsed="false" customWidth="true" hidden="false" outlineLevel="0" max="7" min="7" style="0" width="19.86"/>
    <col collapsed="false" customWidth="true" hidden="false" outlineLevel="0" max="8" min="8" style="0" width="18"/>
    <col collapsed="false" customWidth="true" hidden="false" outlineLevel="0" max="10" min="9" style="0" width="22.29"/>
    <col collapsed="false" customWidth="true" hidden="false" outlineLevel="0" max="14" min="11" style="0" width="21.43"/>
    <col collapsed="false" customWidth="true" hidden="false" outlineLevel="0" max="15" min="15" style="0" width="21.14"/>
    <col collapsed="false" customWidth="true" hidden="false" outlineLevel="0" max="18" min="16" style="0" width="22.57"/>
    <col collapsed="false" customWidth="true" hidden="false" outlineLevel="0" max="21" min="19" style="0" width="29.71"/>
  </cols>
  <sheetData>
    <row r="1" customFormat="false" ht="26.25" hidden="false" customHeight="true" outlineLevel="0" collapsed="false">
      <c r="A1" s="76"/>
      <c r="H1" s="104" t="s">
        <v>509</v>
      </c>
      <c r="I1" s="104"/>
      <c r="J1" s="104"/>
      <c r="K1" s="104"/>
      <c r="L1" s="104"/>
      <c r="M1" s="104"/>
      <c r="N1" s="104"/>
      <c r="O1" s="104"/>
      <c r="P1" s="105" t="s">
        <v>510</v>
      </c>
      <c r="Q1" s="105"/>
      <c r="R1" s="105"/>
      <c r="S1" s="106" t="s">
        <v>511</v>
      </c>
      <c r="T1" s="106"/>
      <c r="U1" s="106"/>
    </row>
    <row r="2" customFormat="false" ht="21" hidden="false" customHeight="true" outlineLevel="0" collapsed="false">
      <c r="H2" s="107" t="s">
        <v>11</v>
      </c>
      <c r="I2" s="108" t="n">
        <v>5</v>
      </c>
      <c r="J2" s="109" t="n">
        <v>3</v>
      </c>
      <c r="K2" s="109" t="n">
        <v>1</v>
      </c>
      <c r="L2" s="109" t="n">
        <v>1</v>
      </c>
      <c r="M2" s="109"/>
      <c r="N2" s="109"/>
      <c r="O2" s="109"/>
      <c r="P2" s="105"/>
      <c r="Q2" s="105"/>
      <c r="R2" s="105"/>
      <c r="S2" s="106"/>
      <c r="T2" s="106"/>
      <c r="U2" s="106"/>
    </row>
    <row r="3" customFormat="false" ht="27" hidden="false" customHeight="true" outlineLevel="0" collapsed="false">
      <c r="A3" s="110" t="s">
        <v>486</v>
      </c>
      <c r="B3" s="110" t="s">
        <v>487</v>
      </c>
      <c r="C3" s="111" t="s">
        <v>489</v>
      </c>
      <c r="D3" s="112" t="s">
        <v>512</v>
      </c>
      <c r="E3" s="112" t="s">
        <v>513</v>
      </c>
      <c r="F3" s="113" t="s">
        <v>514</v>
      </c>
      <c r="G3" s="113" t="s">
        <v>515</v>
      </c>
      <c r="H3" s="114" t="s">
        <v>516</v>
      </c>
      <c r="I3" s="114" t="s">
        <v>517</v>
      </c>
      <c r="J3" s="114" t="s">
        <v>518</v>
      </c>
      <c r="K3" s="114" t="s">
        <v>519</v>
      </c>
      <c r="L3" s="114" t="s">
        <v>520</v>
      </c>
      <c r="M3" s="114" t="s">
        <v>521</v>
      </c>
      <c r="N3" s="114" t="s">
        <v>522</v>
      </c>
      <c r="O3" s="114" t="s">
        <v>523</v>
      </c>
      <c r="P3" s="114" t="s">
        <v>524</v>
      </c>
      <c r="Q3" s="114" t="s">
        <v>525</v>
      </c>
      <c r="R3" s="114" t="s">
        <v>526</v>
      </c>
      <c r="S3" s="114" t="s">
        <v>527</v>
      </c>
      <c r="T3" s="114" t="s">
        <v>528</v>
      </c>
      <c r="U3" s="114" t="s">
        <v>529</v>
      </c>
    </row>
    <row r="4" customFormat="false" ht="18.75" hidden="false" customHeight="true" outlineLevel="0" collapsed="false">
      <c r="A4" s="90" t="n">
        <v>1</v>
      </c>
      <c r="B4" s="91"/>
      <c r="C4" s="115"/>
      <c r="D4" s="75"/>
      <c r="E4" s="116"/>
      <c r="F4" s="117" t="n">
        <v>5</v>
      </c>
      <c r="G4" s="118" t="s">
        <v>530</v>
      </c>
      <c r="H4" s="119" t="n">
        <v>1</v>
      </c>
      <c r="I4" s="120" t="n">
        <v>15000</v>
      </c>
      <c r="J4" s="120" t="n">
        <v>25000</v>
      </c>
      <c r="K4" s="120" t="n">
        <v>35000</v>
      </c>
      <c r="L4" s="120" t="n">
        <v>5000</v>
      </c>
      <c r="M4" s="120" t="n">
        <v>10000</v>
      </c>
      <c r="N4" s="120" t="n">
        <v>1000</v>
      </c>
      <c r="O4" s="120" t="n">
        <v>2500</v>
      </c>
      <c r="P4" s="120" t="n">
        <v>15000</v>
      </c>
      <c r="Q4" s="120" t="n">
        <v>20000</v>
      </c>
      <c r="R4" s="120" t="n">
        <v>25000</v>
      </c>
      <c r="S4" s="121"/>
      <c r="T4" s="121"/>
      <c r="U4" s="121"/>
    </row>
    <row r="5" customFormat="false" ht="18.75" hidden="false" customHeight="true" outlineLevel="0" collapsed="false">
      <c r="A5" s="90" t="n">
        <v>2</v>
      </c>
      <c r="B5" s="91"/>
      <c r="C5" s="115"/>
      <c r="D5" s="75"/>
      <c r="E5" s="116"/>
      <c r="F5" s="117"/>
      <c r="G5" s="118"/>
      <c r="H5" s="119"/>
      <c r="I5" s="120"/>
      <c r="J5" s="120"/>
      <c r="K5" s="120"/>
      <c r="L5" s="120"/>
      <c r="M5" s="120"/>
      <c r="N5" s="120"/>
      <c r="O5" s="120"/>
      <c r="P5" s="120"/>
      <c r="Q5" s="120"/>
      <c r="R5" s="120"/>
      <c r="S5" s="121"/>
      <c r="T5" s="121"/>
      <c r="U5" s="121"/>
    </row>
    <row r="6" customFormat="false" ht="18.75" hidden="false" customHeight="true" outlineLevel="0" collapsed="false">
      <c r="A6" s="90" t="n">
        <v>3</v>
      </c>
      <c r="B6" s="91"/>
      <c r="C6" s="115"/>
      <c r="D6" s="75"/>
      <c r="E6" s="116"/>
      <c r="F6" s="117"/>
      <c r="G6" s="118"/>
      <c r="H6" s="119"/>
      <c r="I6" s="120"/>
      <c r="J6" s="120"/>
      <c r="K6" s="120"/>
      <c r="L6" s="120"/>
      <c r="M6" s="120"/>
      <c r="N6" s="120"/>
      <c r="O6" s="120"/>
      <c r="P6" s="120"/>
      <c r="Q6" s="120"/>
      <c r="R6" s="120"/>
      <c r="S6" s="121"/>
      <c r="T6" s="121"/>
      <c r="U6" s="121"/>
    </row>
    <row r="7" customFormat="false" ht="18.75" hidden="false" customHeight="true" outlineLevel="0" collapsed="false">
      <c r="A7" s="90" t="n">
        <v>4</v>
      </c>
      <c r="B7" s="91"/>
      <c r="C7" s="115"/>
      <c r="D7" s="75"/>
      <c r="E7" s="116"/>
      <c r="F7" s="117"/>
      <c r="G7" s="118"/>
      <c r="H7" s="119"/>
      <c r="I7" s="120"/>
      <c r="J7" s="120"/>
      <c r="K7" s="120"/>
      <c r="L7" s="120"/>
      <c r="M7" s="120"/>
      <c r="N7" s="120"/>
      <c r="O7" s="120"/>
      <c r="P7" s="120"/>
      <c r="Q7" s="120"/>
      <c r="R7" s="120"/>
      <c r="S7" s="121"/>
      <c r="T7" s="121"/>
      <c r="U7" s="121"/>
    </row>
    <row r="8" customFormat="false" ht="18.75" hidden="false" customHeight="true" outlineLevel="0" collapsed="false">
      <c r="A8" s="90" t="n">
        <v>5</v>
      </c>
      <c r="B8" s="91"/>
      <c r="C8" s="115"/>
      <c r="D8" s="75"/>
      <c r="E8" s="116"/>
      <c r="F8" s="117"/>
      <c r="G8" s="118"/>
      <c r="H8" s="119"/>
      <c r="I8" s="120"/>
      <c r="J8" s="120"/>
      <c r="K8" s="120"/>
      <c r="L8" s="120"/>
      <c r="M8" s="120"/>
      <c r="N8" s="120"/>
      <c r="O8" s="120"/>
      <c r="P8" s="120"/>
      <c r="Q8" s="120"/>
      <c r="R8" s="120"/>
      <c r="S8" s="121"/>
      <c r="T8" s="121"/>
      <c r="U8" s="121"/>
    </row>
    <row r="9" customFormat="false" ht="18.75" hidden="false" customHeight="true" outlineLevel="0" collapsed="false">
      <c r="A9" s="90" t="n">
        <v>6</v>
      </c>
      <c r="B9" s="91"/>
      <c r="C9" s="115"/>
      <c r="D9" s="75"/>
      <c r="E9" s="116"/>
      <c r="F9" s="117"/>
      <c r="G9" s="118"/>
      <c r="H9" s="119"/>
      <c r="I9" s="120"/>
      <c r="J9" s="120"/>
      <c r="K9" s="120"/>
      <c r="L9" s="120"/>
      <c r="M9" s="120"/>
      <c r="N9" s="120"/>
      <c r="O9" s="120"/>
      <c r="P9" s="120"/>
      <c r="Q9" s="120"/>
      <c r="R9" s="120"/>
      <c r="S9" s="121"/>
      <c r="T9" s="121"/>
      <c r="U9" s="121"/>
    </row>
    <row r="10" customFormat="false" ht="18.75" hidden="false" customHeight="true" outlineLevel="0" collapsed="false">
      <c r="A10" s="90" t="n">
        <v>7</v>
      </c>
      <c r="B10" s="91"/>
      <c r="C10" s="115" t="str">
        <f aca="false">+TRANSPORTS!D7</f>
        <v>ANTSIRABE</v>
      </c>
      <c r="D10" s="75"/>
      <c r="E10" s="116"/>
      <c r="F10" s="117"/>
      <c r="G10" s="118"/>
      <c r="H10" s="119"/>
      <c r="I10" s="120"/>
      <c r="J10" s="120"/>
      <c r="K10" s="120"/>
      <c r="L10" s="120"/>
      <c r="M10" s="120"/>
      <c r="N10" s="120"/>
      <c r="O10" s="120"/>
      <c r="P10" s="120"/>
      <c r="Q10" s="120"/>
      <c r="R10" s="120"/>
      <c r="S10" s="121"/>
      <c r="T10" s="121"/>
      <c r="U10" s="121"/>
    </row>
    <row r="11" customFormat="false" ht="18.75" hidden="false" customHeight="true" outlineLevel="0" collapsed="false">
      <c r="A11" s="90" t="n">
        <v>8</v>
      </c>
      <c r="B11" s="91"/>
      <c r="C11" s="115"/>
      <c r="D11" s="75"/>
      <c r="E11" s="116"/>
      <c r="F11" s="117"/>
      <c r="G11" s="118"/>
      <c r="H11" s="119"/>
      <c r="I11" s="120"/>
      <c r="J11" s="120"/>
      <c r="K11" s="120"/>
      <c r="L11" s="120"/>
      <c r="M11" s="120"/>
      <c r="N11" s="120"/>
      <c r="O11" s="120"/>
      <c r="P11" s="120"/>
      <c r="Q11" s="120"/>
      <c r="R11" s="120"/>
      <c r="S11" s="121"/>
      <c r="T11" s="121"/>
      <c r="U11" s="121"/>
    </row>
    <row r="12" customFormat="false" ht="18.75" hidden="false" customHeight="true" outlineLevel="0" collapsed="false">
      <c r="A12" s="90" t="n">
        <v>9</v>
      </c>
      <c r="B12" s="91"/>
      <c r="C12" s="115"/>
      <c r="D12" s="75"/>
      <c r="E12" s="116"/>
      <c r="F12" s="117"/>
      <c r="G12" s="118"/>
      <c r="H12" s="119"/>
      <c r="I12" s="120"/>
      <c r="J12" s="120"/>
      <c r="K12" s="120"/>
      <c r="L12" s="120"/>
      <c r="M12" s="120"/>
      <c r="N12" s="120"/>
      <c r="O12" s="120"/>
      <c r="P12" s="120"/>
      <c r="Q12" s="120"/>
      <c r="R12" s="120"/>
      <c r="S12" s="121"/>
      <c r="T12" s="121"/>
      <c r="U12" s="121"/>
    </row>
    <row r="13" customFormat="false" ht="18.75" hidden="false" customHeight="true" outlineLevel="0" collapsed="false">
      <c r="A13" s="90" t="n">
        <v>10</v>
      </c>
      <c r="B13" s="91"/>
      <c r="C13" s="115"/>
      <c r="D13" s="75"/>
      <c r="E13" s="116"/>
      <c r="F13" s="117"/>
      <c r="G13" s="118"/>
      <c r="H13" s="119"/>
      <c r="I13" s="120"/>
      <c r="J13" s="120"/>
      <c r="K13" s="120"/>
      <c r="L13" s="120"/>
      <c r="M13" s="120"/>
      <c r="N13" s="120"/>
      <c r="O13" s="120"/>
      <c r="P13" s="120"/>
      <c r="Q13" s="120"/>
      <c r="R13" s="120"/>
      <c r="S13" s="121"/>
      <c r="T13" s="121"/>
      <c r="U13" s="121"/>
    </row>
    <row r="14" customFormat="false" ht="18.75" hidden="false" customHeight="true" outlineLevel="0" collapsed="false">
      <c r="A14" s="90" t="n">
        <v>11</v>
      </c>
      <c r="B14" s="91"/>
      <c r="C14" s="115"/>
      <c r="D14" s="75"/>
      <c r="E14" s="116"/>
      <c r="F14" s="117"/>
      <c r="G14" s="118"/>
      <c r="H14" s="119"/>
      <c r="I14" s="120"/>
      <c r="J14" s="120"/>
      <c r="K14" s="120"/>
      <c r="L14" s="120"/>
      <c r="M14" s="120"/>
      <c r="N14" s="120"/>
      <c r="O14" s="120"/>
      <c r="P14" s="120"/>
      <c r="Q14" s="120"/>
      <c r="R14" s="120"/>
      <c r="S14" s="121"/>
      <c r="T14" s="121"/>
      <c r="U14" s="121"/>
    </row>
    <row r="15" customFormat="false" ht="18.75" hidden="false" customHeight="true" outlineLevel="0" collapsed="false">
      <c r="A15" s="90" t="n">
        <v>12</v>
      </c>
      <c r="B15" s="91"/>
      <c r="C15" s="115"/>
      <c r="D15" s="75"/>
      <c r="E15" s="116"/>
      <c r="F15" s="117"/>
      <c r="G15" s="118"/>
      <c r="H15" s="119"/>
      <c r="I15" s="120"/>
      <c r="J15" s="120"/>
      <c r="K15" s="120"/>
      <c r="L15" s="120"/>
      <c r="M15" s="120"/>
      <c r="N15" s="120"/>
      <c r="O15" s="120"/>
      <c r="P15" s="120"/>
      <c r="Q15" s="120"/>
      <c r="R15" s="120"/>
      <c r="S15" s="121"/>
      <c r="T15" s="121"/>
      <c r="U15" s="121"/>
    </row>
    <row r="16" customFormat="false" ht="18.75" hidden="false" customHeight="true" outlineLevel="0" collapsed="false">
      <c r="A16" s="90" t="n">
        <v>13</v>
      </c>
      <c r="B16" s="91"/>
      <c r="C16" s="115"/>
      <c r="D16" s="75"/>
      <c r="E16" s="116"/>
      <c r="F16" s="117"/>
      <c r="G16" s="118"/>
      <c r="H16" s="119"/>
      <c r="I16" s="120"/>
      <c r="J16" s="120"/>
      <c r="K16" s="120"/>
      <c r="L16" s="120"/>
      <c r="M16" s="120"/>
      <c r="N16" s="120"/>
      <c r="O16" s="120"/>
      <c r="P16" s="120"/>
      <c r="Q16" s="120"/>
      <c r="R16" s="120"/>
      <c r="S16" s="121"/>
      <c r="T16" s="121"/>
      <c r="U16" s="121"/>
    </row>
    <row r="17" customFormat="false" ht="18.75" hidden="false" customHeight="true" outlineLevel="0" collapsed="false">
      <c r="A17" s="90" t="n">
        <v>14</v>
      </c>
      <c r="B17" s="91"/>
      <c r="C17" s="115"/>
      <c r="D17" s="75"/>
      <c r="E17" s="116"/>
      <c r="F17" s="117"/>
      <c r="G17" s="118"/>
      <c r="H17" s="122"/>
      <c r="I17" s="120"/>
      <c r="J17" s="120"/>
      <c r="K17" s="120"/>
      <c r="L17" s="120"/>
      <c r="M17" s="120"/>
      <c r="N17" s="120"/>
      <c r="O17" s="120"/>
      <c r="P17" s="120"/>
      <c r="Q17" s="120"/>
      <c r="R17" s="120"/>
      <c r="S17" s="121"/>
      <c r="T17" s="121"/>
      <c r="U17" s="121"/>
    </row>
    <row r="18" customFormat="false" ht="18.75" hidden="false" customHeight="true" outlineLevel="0" collapsed="false">
      <c r="A18" s="90" t="n">
        <v>15</v>
      </c>
      <c r="B18" s="91"/>
      <c r="C18" s="115"/>
      <c r="D18" s="75"/>
      <c r="E18" s="116"/>
      <c r="F18" s="117"/>
      <c r="G18" s="118"/>
      <c r="H18" s="119"/>
      <c r="I18" s="120"/>
      <c r="J18" s="120"/>
      <c r="K18" s="120"/>
      <c r="L18" s="120"/>
      <c r="M18" s="120"/>
      <c r="N18" s="120"/>
      <c r="O18" s="120"/>
      <c r="P18" s="120"/>
      <c r="Q18" s="120"/>
      <c r="R18" s="120"/>
      <c r="S18" s="121"/>
      <c r="T18" s="121"/>
      <c r="U18" s="121"/>
    </row>
    <row r="19" customFormat="false" ht="18.75" hidden="false" customHeight="true" outlineLevel="0" collapsed="false">
      <c r="A19" s="90" t="n">
        <v>16</v>
      </c>
      <c r="B19" s="91"/>
      <c r="C19" s="115"/>
      <c r="D19" s="75"/>
      <c r="E19" s="116"/>
      <c r="F19" s="117"/>
      <c r="G19" s="118"/>
      <c r="H19" s="119"/>
      <c r="I19" s="120"/>
      <c r="J19" s="120"/>
      <c r="K19" s="120"/>
      <c r="L19" s="120"/>
      <c r="M19" s="120"/>
      <c r="N19" s="120"/>
      <c r="O19" s="120"/>
      <c r="P19" s="120"/>
      <c r="Q19" s="120"/>
      <c r="R19" s="120"/>
      <c r="S19" s="121"/>
      <c r="T19" s="121"/>
      <c r="U19" s="121"/>
    </row>
    <row r="20" customFormat="false" ht="18.75" hidden="false" customHeight="true" outlineLevel="0" collapsed="false">
      <c r="A20" s="90" t="n">
        <v>17</v>
      </c>
      <c r="B20" s="91"/>
      <c r="C20" s="115"/>
      <c r="D20" s="75"/>
      <c r="E20" s="116"/>
      <c r="F20" s="117"/>
      <c r="G20" s="118"/>
      <c r="H20" s="119"/>
      <c r="I20" s="120"/>
      <c r="J20" s="120"/>
      <c r="K20" s="120"/>
      <c r="L20" s="120"/>
      <c r="M20" s="120"/>
      <c r="N20" s="120"/>
      <c r="O20" s="120"/>
      <c r="P20" s="120"/>
      <c r="Q20" s="120"/>
      <c r="R20" s="120"/>
      <c r="S20" s="121"/>
      <c r="T20" s="121"/>
      <c r="U20" s="121"/>
    </row>
    <row r="21" customFormat="false" ht="18.75" hidden="false" customHeight="true" outlineLevel="0" collapsed="false">
      <c r="A21" s="90" t="n">
        <v>18</v>
      </c>
      <c r="B21" s="91"/>
      <c r="C21" s="115"/>
      <c r="D21" s="75"/>
      <c r="E21" s="116"/>
      <c r="F21" s="117"/>
      <c r="G21" s="118"/>
      <c r="H21" s="119"/>
      <c r="I21" s="120"/>
      <c r="J21" s="120"/>
      <c r="K21" s="120"/>
      <c r="L21" s="120"/>
      <c r="M21" s="120"/>
      <c r="N21" s="120"/>
      <c r="O21" s="120"/>
      <c r="P21" s="120"/>
      <c r="Q21" s="120"/>
      <c r="R21" s="120"/>
      <c r="S21" s="121"/>
      <c r="T21" s="121"/>
      <c r="U21" s="121"/>
    </row>
    <row r="22" customFormat="false" ht="18.75" hidden="false" customHeight="true" outlineLevel="0" collapsed="false">
      <c r="A22" s="90" t="n">
        <v>19</v>
      </c>
      <c r="B22" s="91"/>
      <c r="C22" s="115"/>
      <c r="D22" s="75"/>
      <c r="E22" s="116"/>
      <c r="F22" s="123"/>
      <c r="G22" s="118"/>
      <c r="H22" s="119"/>
      <c r="I22" s="120"/>
      <c r="J22" s="120"/>
      <c r="K22" s="120"/>
      <c r="L22" s="120"/>
      <c r="M22" s="120"/>
      <c r="N22" s="120"/>
      <c r="O22" s="120"/>
      <c r="P22" s="120"/>
      <c r="Q22" s="120"/>
      <c r="R22" s="120"/>
      <c r="S22" s="121"/>
      <c r="T22" s="121"/>
      <c r="U22" s="121"/>
    </row>
    <row r="23" customFormat="false" ht="18.75" hidden="false" customHeight="true" outlineLevel="0" collapsed="false">
      <c r="A23" s="90" t="n">
        <v>20</v>
      </c>
      <c r="B23" s="91"/>
      <c r="C23" s="115"/>
      <c r="D23" s="75"/>
      <c r="E23" s="116"/>
      <c r="F23" s="123"/>
      <c r="G23" s="118"/>
      <c r="H23" s="122"/>
      <c r="I23" s="120"/>
      <c r="J23" s="120"/>
      <c r="K23" s="120"/>
      <c r="L23" s="120"/>
      <c r="M23" s="120"/>
      <c r="N23" s="120"/>
      <c r="O23" s="120"/>
      <c r="P23" s="120"/>
      <c r="Q23" s="120"/>
      <c r="R23" s="120"/>
      <c r="S23" s="121"/>
      <c r="T23" s="121"/>
      <c r="U23" s="121"/>
    </row>
    <row r="24" customFormat="false" ht="18.75" hidden="false" customHeight="true" outlineLevel="0" collapsed="false">
      <c r="A24" s="90" t="n">
        <v>21</v>
      </c>
      <c r="B24" s="91"/>
      <c r="C24" s="115"/>
      <c r="D24" s="75"/>
      <c r="E24" s="116"/>
      <c r="F24" s="117"/>
      <c r="G24" s="118"/>
      <c r="H24" s="122"/>
      <c r="I24" s="120"/>
      <c r="J24" s="120"/>
      <c r="K24" s="120"/>
      <c r="L24" s="120"/>
      <c r="M24" s="120"/>
      <c r="N24" s="120"/>
      <c r="O24" s="120"/>
      <c r="P24" s="120"/>
      <c r="Q24" s="120"/>
      <c r="R24" s="120"/>
      <c r="S24" s="121"/>
      <c r="T24" s="121"/>
      <c r="U24" s="121"/>
    </row>
    <row r="25" customFormat="false" ht="18.75" hidden="false" customHeight="true" outlineLevel="0" collapsed="false">
      <c r="A25" s="90" t="n">
        <v>22</v>
      </c>
      <c r="B25" s="91"/>
      <c r="C25" s="115"/>
      <c r="D25" s="75"/>
      <c r="E25" s="116"/>
      <c r="F25" s="117"/>
      <c r="G25" s="118"/>
      <c r="H25" s="122"/>
      <c r="I25" s="120"/>
      <c r="J25" s="120"/>
      <c r="K25" s="120"/>
      <c r="L25" s="120"/>
      <c r="M25" s="120"/>
      <c r="N25" s="120"/>
      <c r="O25" s="120"/>
      <c r="P25" s="120"/>
      <c r="Q25" s="120"/>
      <c r="R25" s="120"/>
      <c r="S25" s="121"/>
      <c r="T25" s="121"/>
      <c r="U25" s="121"/>
    </row>
    <row r="26" customFormat="false" ht="18.75" hidden="false" customHeight="true" outlineLevel="0" collapsed="false">
      <c r="A26" s="90" t="n">
        <v>23</v>
      </c>
      <c r="B26" s="91"/>
      <c r="C26" s="115"/>
      <c r="D26" s="75"/>
      <c r="E26" s="116"/>
      <c r="F26" s="117"/>
      <c r="G26" s="118"/>
      <c r="H26" s="122"/>
      <c r="I26" s="120"/>
      <c r="J26" s="120"/>
      <c r="K26" s="120"/>
      <c r="L26" s="120"/>
      <c r="M26" s="120"/>
      <c r="N26" s="120"/>
      <c r="O26" s="120"/>
      <c r="P26" s="120"/>
      <c r="Q26" s="120"/>
      <c r="R26" s="120"/>
      <c r="S26" s="121"/>
      <c r="T26" s="121"/>
      <c r="U26" s="121"/>
    </row>
    <row r="27" customFormat="false" ht="18.75" hidden="false" customHeight="true" outlineLevel="0" collapsed="false">
      <c r="A27" s="90" t="n">
        <v>24</v>
      </c>
      <c r="B27" s="91"/>
      <c r="C27" s="115"/>
      <c r="D27" s="75"/>
      <c r="E27" s="116"/>
      <c r="F27" s="117"/>
      <c r="G27" s="118"/>
      <c r="H27" s="122"/>
      <c r="I27" s="120"/>
      <c r="J27" s="120"/>
      <c r="K27" s="120"/>
      <c r="L27" s="120"/>
      <c r="M27" s="120"/>
      <c r="N27" s="120"/>
      <c r="O27" s="120"/>
      <c r="P27" s="120"/>
      <c r="Q27" s="120"/>
      <c r="R27" s="120"/>
      <c r="S27" s="121"/>
      <c r="T27" s="121"/>
      <c r="U27" s="121"/>
    </row>
    <row r="28" customFormat="false" ht="18.75" hidden="false" customHeight="true" outlineLevel="0" collapsed="false">
      <c r="A28" s="90" t="n">
        <v>25</v>
      </c>
      <c r="B28" s="91"/>
      <c r="C28" s="115"/>
      <c r="D28" s="75"/>
      <c r="E28" s="116"/>
      <c r="F28" s="117"/>
      <c r="G28" s="118"/>
      <c r="H28" s="122"/>
      <c r="I28" s="120"/>
      <c r="J28" s="120"/>
      <c r="K28" s="120"/>
      <c r="L28" s="120"/>
      <c r="M28" s="120"/>
      <c r="N28" s="120"/>
      <c r="O28" s="120"/>
      <c r="P28" s="120"/>
      <c r="Q28" s="120"/>
      <c r="R28" s="120"/>
      <c r="S28" s="121"/>
      <c r="T28" s="121"/>
      <c r="U28" s="121"/>
    </row>
    <row r="29" customFormat="false" ht="18.75" hidden="false" customHeight="true" outlineLevel="0" collapsed="false">
      <c r="A29" s="90" t="n">
        <v>26</v>
      </c>
      <c r="B29" s="91"/>
      <c r="C29" s="115"/>
      <c r="D29" s="75"/>
      <c r="E29" s="116"/>
      <c r="F29" s="117"/>
      <c r="G29" s="118"/>
      <c r="H29" s="122"/>
      <c r="I29" s="120"/>
      <c r="J29" s="120"/>
      <c r="K29" s="120"/>
      <c r="L29" s="120"/>
      <c r="M29" s="120"/>
      <c r="N29" s="120"/>
      <c r="O29" s="120"/>
      <c r="P29" s="120"/>
      <c r="Q29" s="120"/>
      <c r="R29" s="120"/>
      <c r="S29" s="121"/>
      <c r="T29" s="121"/>
      <c r="U29" s="121"/>
    </row>
    <row r="30" customFormat="false" ht="18.75" hidden="false" customHeight="true" outlineLevel="0" collapsed="false">
      <c r="A30" s="90" t="n">
        <v>27</v>
      </c>
      <c r="B30" s="91"/>
      <c r="C30" s="115"/>
      <c r="D30" s="75"/>
      <c r="E30" s="116"/>
      <c r="F30" s="117"/>
      <c r="G30" s="118"/>
      <c r="H30" s="122"/>
      <c r="I30" s="120"/>
      <c r="J30" s="120"/>
      <c r="K30" s="120"/>
      <c r="L30" s="120"/>
      <c r="M30" s="120"/>
      <c r="N30" s="120"/>
      <c r="O30" s="120"/>
      <c r="P30" s="120"/>
      <c r="Q30" s="120"/>
      <c r="R30" s="120"/>
      <c r="S30" s="121"/>
      <c r="T30" s="121"/>
      <c r="U30" s="121"/>
    </row>
    <row r="31" customFormat="false" ht="18.75" hidden="false" customHeight="true" outlineLevel="0" collapsed="false">
      <c r="A31" s="90" t="n">
        <v>28</v>
      </c>
      <c r="B31" s="91"/>
      <c r="C31" s="115"/>
      <c r="D31" s="75"/>
      <c r="E31" s="116"/>
      <c r="F31" s="117"/>
      <c r="G31" s="118"/>
      <c r="H31" s="122"/>
      <c r="I31" s="120"/>
      <c r="J31" s="120"/>
      <c r="K31" s="120"/>
      <c r="L31" s="120"/>
      <c r="M31" s="120"/>
      <c r="N31" s="120"/>
      <c r="O31" s="120"/>
      <c r="P31" s="120"/>
      <c r="Q31" s="120"/>
      <c r="R31" s="120"/>
      <c r="S31" s="121"/>
      <c r="T31" s="121"/>
      <c r="U31" s="121"/>
    </row>
    <row r="32" customFormat="false" ht="18.75" hidden="false" customHeight="true" outlineLevel="0" collapsed="false">
      <c r="A32" s="90" t="n">
        <v>29</v>
      </c>
      <c r="B32" s="91"/>
      <c r="C32" s="115"/>
      <c r="D32" s="75"/>
      <c r="E32" s="116"/>
      <c r="F32" s="117"/>
      <c r="G32" s="118"/>
      <c r="H32" s="122"/>
      <c r="I32" s="120"/>
      <c r="J32" s="120"/>
      <c r="K32" s="120"/>
      <c r="L32" s="120"/>
      <c r="M32" s="120"/>
      <c r="N32" s="120"/>
      <c r="O32" s="120"/>
      <c r="P32" s="120"/>
      <c r="Q32" s="120"/>
      <c r="R32" s="120"/>
      <c r="S32" s="121"/>
      <c r="T32" s="121"/>
      <c r="U32" s="121"/>
    </row>
    <row r="33" customFormat="false" ht="18.75" hidden="false" customHeight="true" outlineLevel="0" collapsed="false">
      <c r="A33" s="90" t="n">
        <v>30</v>
      </c>
      <c r="B33" s="91"/>
      <c r="C33" s="115"/>
      <c r="D33" s="75"/>
      <c r="E33" s="116"/>
      <c r="F33" s="117"/>
      <c r="G33" s="118"/>
      <c r="H33" s="122"/>
      <c r="I33" s="120"/>
      <c r="J33" s="120"/>
      <c r="K33" s="120"/>
      <c r="L33" s="120"/>
      <c r="M33" s="120"/>
      <c r="N33" s="120"/>
      <c r="O33" s="120"/>
      <c r="P33" s="120"/>
      <c r="Q33" s="120"/>
      <c r="R33" s="120"/>
      <c r="S33" s="121"/>
      <c r="T33" s="121"/>
      <c r="U33" s="121"/>
    </row>
    <row r="34" customFormat="false" ht="15" hidden="false" customHeight="false" outlineLevel="0" collapsed="false">
      <c r="H34" s="124" t="s">
        <v>531</v>
      </c>
      <c r="I34" s="125"/>
      <c r="J34" s="125"/>
      <c r="K34" s="126"/>
      <c r="L34" s="126"/>
      <c r="M34" s="126"/>
      <c r="N34" s="126"/>
      <c r="O34" s="125"/>
      <c r="P34" s="125" t="n">
        <f aca="false">SUM(F34:O34)</f>
        <v>0</v>
      </c>
      <c r="Q34" s="127" t="n">
        <f aca="false">SUM(P34)</f>
        <v>0</v>
      </c>
      <c r="R34" s="127" t="n">
        <f aca="false">SUM(Q34)</f>
        <v>0</v>
      </c>
      <c r="S34" s="128" t="n">
        <f aca="false">SUM(S4:S33)</f>
        <v>0</v>
      </c>
      <c r="T34" s="128" t="n">
        <f aca="false">SUM(T4:T33)</f>
        <v>0</v>
      </c>
      <c r="U34" s="128" t="n">
        <f aca="false">SUM(U4:U33)</f>
        <v>0</v>
      </c>
    </row>
    <row r="35" customFormat="false" ht="15" hidden="false" customHeight="false" outlineLevel="0" collapsed="false">
      <c r="O35" s="129"/>
      <c r="S35" s="130"/>
    </row>
    <row r="36" customFormat="false" ht="15" hidden="false" customHeight="false" outlineLevel="0" collapsed="false">
      <c r="D36" s="129"/>
      <c r="M36" s="131" t="s">
        <v>532</v>
      </c>
      <c r="N36" s="70"/>
      <c r="R36" s="70" t="s">
        <v>533</v>
      </c>
      <c r="S36" s="93"/>
    </row>
    <row r="37" customFormat="false" ht="15" hidden="false" customHeight="false" outlineLevel="0" collapsed="false">
      <c r="H37" s="100"/>
      <c r="I37" s="100"/>
      <c r="J37" s="129"/>
      <c r="K37" s="129"/>
      <c r="L37" s="129"/>
      <c r="S37" s="130"/>
    </row>
    <row r="38" customFormat="false" ht="15" hidden="false" customHeight="false" outlineLevel="0" collapsed="false">
      <c r="S38" s="132"/>
    </row>
    <row r="39" customFormat="false" ht="15" hidden="false" customHeight="false" outlineLevel="0" collapsed="false">
      <c r="S39" s="130"/>
    </row>
    <row r="40" customFormat="false" ht="15" hidden="false" customHeight="false" outlineLevel="0" collapsed="false">
      <c r="B40" s="60" t="str">
        <f aca="false">C3</f>
        <v>Lieu d'arrivé</v>
      </c>
      <c r="C40" s="0" t="s">
        <v>534</v>
      </c>
      <c r="S40" s="130"/>
    </row>
    <row r="41" customFormat="false" ht="18.75" hidden="false" customHeight="true" outlineLevel="0" collapsed="false">
      <c r="B41" s="60" t="str">
        <f aca="false">D3</f>
        <v>Nom de l'hôtel</v>
      </c>
      <c r="C41" s="0" t="s">
        <v>535</v>
      </c>
      <c r="S41" s="133" t="s">
        <v>536</v>
      </c>
    </row>
    <row r="42" customFormat="false" ht="18.75" hidden="false" customHeight="true" outlineLevel="0" collapsed="false">
      <c r="B42" s="60" t="str">
        <f aca="false">E3</f>
        <v>Type d'hebergement</v>
      </c>
      <c r="C42" s="0" t="s">
        <v>537</v>
      </c>
      <c r="S42" s="134"/>
    </row>
    <row r="43" customFormat="false" ht="15" hidden="false" customHeight="false" outlineLevel="0" collapsed="false">
      <c r="B43" s="60" t="str">
        <f aca="false">F3</f>
        <v>Nb de pax</v>
      </c>
      <c r="C43" s="0" t="s">
        <v>538</v>
      </c>
    </row>
    <row r="44" customFormat="false" ht="15" hidden="false" customHeight="false" outlineLevel="0" collapsed="false">
      <c r="B44" s="60" t="s">
        <v>515</v>
      </c>
      <c r="C44" s="0" t="s">
        <v>539</v>
      </c>
    </row>
    <row r="45" customFormat="false" ht="15" hidden="false" customHeight="false" outlineLevel="0" collapsed="false">
      <c r="B45" s="60" t="str">
        <f aca="false">H3</f>
        <v>Nb de nuité</v>
      </c>
      <c r="C45" s="0" t="s">
        <v>540</v>
      </c>
    </row>
    <row r="46" customFormat="false" ht="15" hidden="false" customHeight="false" outlineLevel="0" collapsed="false">
      <c r="B46" s="135" t="s">
        <v>541</v>
      </c>
      <c r="C46" s="0" t="s">
        <v>542</v>
      </c>
    </row>
    <row r="47" customFormat="false" ht="15" hidden="false" customHeight="false" outlineLevel="0" collapsed="false">
      <c r="C47" s="0" t="s">
        <v>543</v>
      </c>
    </row>
    <row r="48" customFormat="false" ht="15" hidden="false" customHeight="false" outlineLevel="0" collapsed="false">
      <c r="C48" s="0" t="s">
        <v>544</v>
      </c>
    </row>
  </sheetData>
  <mergeCells count="4">
    <mergeCell ref="H1:O1"/>
    <mergeCell ref="P1:R2"/>
    <mergeCell ref="S1:U2"/>
    <mergeCell ref="H37:I37"/>
  </mergeCells>
  <dataValidations count="4">
    <dataValidation allowBlank="true" errorStyle="stop" operator="between" showDropDown="false" showErrorMessage="true" showInputMessage="true" sqref="I2:M2" type="list">
      <formula1>"1,2,3,4,5"</formula1>
      <formula2>0</formula2>
    </dataValidation>
    <dataValidation allowBlank="true" errorStyle="stop" operator="between" showDropDown="false" showErrorMessage="true" showInputMessage="true" sqref="H4:H33" type="list">
      <formula1>",1,2,3,4,5,6,7,8,9,10,11,12,13,14,15"</formula1>
      <formula2>0</formula2>
    </dataValidation>
    <dataValidation allowBlank="true" errorStyle="stop" operator="between" showDropDown="false" showErrorMessage="true" showInputMessage="true" sqref="G4:G33" type="list">
      <formula1>"Bed and Breakfast,Half Board,Full Board"</formula1>
      <formula2>0</formula2>
    </dataValidation>
    <dataValidation allowBlank="true" errorStyle="stop" operator="between" showDropDown="false" showErrorMessage="true" showInputMessage="true" sqref="E4:E33" type="list">
      <formula1>"Chambre,bungalows,Campement,Chez l'habitant"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0.59765625" defaultRowHeight="15" zeroHeight="false" outlineLevelRow="0" outlineLevelCol="0"/>
  <cols>
    <col collapsed="false" customWidth="true" hidden="false" outlineLevel="0" max="2" min="1" style="0" width="25.71"/>
    <col collapsed="false" customWidth="true" hidden="false" outlineLevel="0" max="3" min="3" style="0" width="55.57"/>
    <col collapsed="false" customWidth="true" hidden="false" outlineLevel="0" max="6" min="4" style="0" width="25.71"/>
    <col collapsed="false" customWidth="true" hidden="false" outlineLevel="0" max="7" min="7" style="0" width="62"/>
    <col collapsed="false" customWidth="true" hidden="false" outlineLevel="0" max="8" min="8" style="0" width="14.14"/>
    <col collapsed="false" customWidth="true" hidden="false" outlineLevel="0" max="9" min="9" style="0" width="15.28"/>
    <col collapsed="false" customWidth="true" hidden="false" outlineLevel="0" max="10" min="10" style="0" width="16.86"/>
  </cols>
  <sheetData>
    <row r="3" customFormat="false" ht="15" hidden="false" customHeight="false" outlineLevel="0" collapsed="false">
      <c r="A3" s="136" t="s">
        <v>545</v>
      </c>
      <c r="B3" s="136" t="s">
        <v>546</v>
      </c>
      <c r="C3" s="136" t="s">
        <v>547</v>
      </c>
      <c r="D3" s="136" t="s">
        <v>548</v>
      </c>
      <c r="E3" s="136" t="s">
        <v>549</v>
      </c>
      <c r="F3" s="136" t="s">
        <v>550</v>
      </c>
    </row>
    <row r="4" customFormat="false" ht="15" hidden="false" customHeight="false" outlineLevel="0" collapsed="false">
      <c r="A4" s="137" t="s">
        <v>551</v>
      </c>
      <c r="B4" s="137" t="s">
        <v>552</v>
      </c>
      <c r="C4" s="70" t="s">
        <v>553</v>
      </c>
      <c r="D4" s="138" t="n">
        <v>25000</v>
      </c>
      <c r="E4" s="70" t="s">
        <v>554</v>
      </c>
      <c r="F4" s="70"/>
    </row>
    <row r="5" customFormat="false" ht="15" hidden="false" customHeight="false" outlineLevel="0" collapsed="false">
      <c r="A5" s="137"/>
      <c r="B5" s="137"/>
      <c r="C5" s="70"/>
      <c r="D5" s="138"/>
      <c r="E5" s="70"/>
      <c r="F5" s="70"/>
    </row>
    <row r="6" customFormat="false" ht="15" hidden="false" customHeight="false" outlineLevel="0" collapsed="false">
      <c r="A6" s="137"/>
      <c r="B6" s="137"/>
      <c r="C6" s="70"/>
      <c r="D6" s="138"/>
      <c r="E6" s="70"/>
      <c r="F6" s="70"/>
    </row>
    <row r="7" customFormat="false" ht="15" hidden="false" customHeight="false" outlineLevel="0" collapsed="false">
      <c r="A7" s="137"/>
      <c r="B7" s="137"/>
      <c r="C7" s="70"/>
      <c r="D7" s="138"/>
      <c r="E7" s="70"/>
      <c r="F7" s="70"/>
    </row>
    <row r="8" customFormat="false" ht="15" hidden="false" customHeight="false" outlineLevel="0" collapsed="false">
      <c r="A8" s="137"/>
      <c r="B8" s="137"/>
      <c r="C8" s="70"/>
      <c r="D8" s="137"/>
      <c r="E8" s="70"/>
      <c r="F8" s="70"/>
    </row>
    <row r="9" customFormat="false" ht="15" hidden="false" customHeight="false" outlineLevel="0" collapsed="false">
      <c r="A9" s="137"/>
      <c r="B9" s="137"/>
      <c r="C9" s="70"/>
      <c r="D9" s="137"/>
      <c r="E9" s="70"/>
      <c r="F9" s="70"/>
    </row>
    <row r="10" customFormat="false" ht="15" hidden="false" customHeight="false" outlineLevel="0" collapsed="false">
      <c r="A10" s="137"/>
      <c r="B10" s="137"/>
      <c r="C10" s="70"/>
      <c r="D10" s="137"/>
      <c r="E10" s="70"/>
      <c r="F10" s="70"/>
    </row>
    <row r="11" customFormat="false" ht="15" hidden="false" customHeight="false" outlineLevel="0" collapsed="false">
      <c r="A11" s="137"/>
      <c r="B11" s="137"/>
      <c r="C11" s="70"/>
      <c r="D11" s="137"/>
      <c r="E11" s="70"/>
      <c r="F11" s="70"/>
    </row>
    <row r="12" customFormat="false" ht="15" hidden="false" customHeight="false" outlineLevel="0" collapsed="false">
      <c r="A12" s="137"/>
      <c r="B12" s="137"/>
      <c r="C12" s="70"/>
      <c r="D12" s="137"/>
      <c r="E12" s="70"/>
      <c r="F12" s="70"/>
    </row>
    <row r="13" customFormat="false" ht="15" hidden="false" customHeight="false" outlineLevel="0" collapsed="false">
      <c r="A13" s="137"/>
      <c r="B13" s="137"/>
      <c r="C13" s="70"/>
      <c r="D13" s="138"/>
      <c r="E13" s="70"/>
      <c r="F13" s="70"/>
    </row>
    <row r="14" customFormat="false" ht="15" hidden="false" customHeight="false" outlineLevel="0" collapsed="false">
      <c r="A14" s="137"/>
      <c r="B14" s="137"/>
      <c r="C14" s="70"/>
      <c r="D14" s="138"/>
      <c r="E14" s="70"/>
      <c r="F14" s="70"/>
    </row>
    <row r="15" customFormat="false" ht="15" hidden="false" customHeight="false" outlineLevel="0" collapsed="false">
      <c r="A15" s="137"/>
      <c r="B15" s="137"/>
      <c r="C15" s="70"/>
      <c r="D15" s="138"/>
      <c r="E15" s="70"/>
      <c r="F15" s="70"/>
    </row>
    <row r="16" customFormat="false" ht="15" hidden="false" customHeight="false" outlineLevel="0" collapsed="false">
      <c r="A16" s="137"/>
      <c r="B16" s="137"/>
      <c r="C16" s="70"/>
      <c r="D16" s="138"/>
      <c r="E16" s="70"/>
      <c r="F16" s="70"/>
    </row>
    <row r="17" customFormat="false" ht="15" hidden="false" customHeight="false" outlineLevel="0" collapsed="false">
      <c r="A17" s="137"/>
      <c r="B17" s="137"/>
      <c r="C17" s="70"/>
      <c r="D17" s="138"/>
      <c r="E17" s="70"/>
      <c r="F17" s="70"/>
    </row>
    <row r="18" customFormat="false" ht="15" hidden="false" customHeight="false" outlineLevel="0" collapsed="false">
      <c r="A18" s="137"/>
      <c r="B18" s="137"/>
      <c r="C18" s="70"/>
      <c r="D18" s="138"/>
      <c r="E18" s="70"/>
      <c r="F18" s="70"/>
    </row>
    <row r="19" customFormat="false" ht="15" hidden="false" customHeight="false" outlineLevel="0" collapsed="false">
      <c r="A19" s="137"/>
      <c r="B19" s="137"/>
      <c r="C19" s="70"/>
      <c r="D19" s="138"/>
      <c r="E19" s="70"/>
      <c r="F19" s="70"/>
    </row>
    <row r="20" customFormat="false" ht="15" hidden="false" customHeight="false" outlineLevel="0" collapsed="false">
      <c r="A20" s="137"/>
      <c r="B20" s="137"/>
      <c r="C20" s="70"/>
      <c r="D20" s="138"/>
      <c r="E20" s="70"/>
      <c r="F20" s="70"/>
    </row>
    <row r="21" customFormat="false" ht="15" hidden="false" customHeight="false" outlineLevel="0" collapsed="false">
      <c r="A21" s="137"/>
      <c r="B21" s="137"/>
      <c r="C21" s="70"/>
      <c r="D21" s="138"/>
      <c r="E21" s="70"/>
      <c r="F21" s="70"/>
    </row>
    <row r="22" customFormat="false" ht="15" hidden="false" customHeight="false" outlineLevel="0" collapsed="false">
      <c r="A22" s="137"/>
      <c r="B22" s="137"/>
      <c r="C22" s="70"/>
      <c r="D22" s="138"/>
      <c r="E22" s="70"/>
      <c r="F22" s="70"/>
    </row>
    <row r="23" customFormat="false" ht="15" hidden="false" customHeight="false" outlineLevel="0" collapsed="false">
      <c r="A23" s="137"/>
      <c r="B23" s="137"/>
      <c r="C23" s="70"/>
      <c r="D23" s="138"/>
      <c r="E23" s="70"/>
      <c r="F23" s="70"/>
    </row>
    <row r="24" customFormat="false" ht="15" hidden="false" customHeight="false" outlineLevel="0" collapsed="false">
      <c r="A24" s="137"/>
      <c r="B24" s="137"/>
      <c r="C24" s="70"/>
      <c r="D24" s="138"/>
      <c r="E24" s="70"/>
      <c r="F24" s="70"/>
    </row>
    <row r="25" customFormat="false" ht="15" hidden="false" customHeight="false" outlineLevel="0" collapsed="false">
      <c r="A25" s="137"/>
      <c r="B25" s="137"/>
      <c r="C25" s="70"/>
      <c r="D25" s="138"/>
      <c r="E25" s="70"/>
      <c r="F25" s="70"/>
    </row>
    <row r="26" customFormat="false" ht="15" hidden="false" customHeight="false" outlineLevel="0" collapsed="false">
      <c r="A26" s="137"/>
      <c r="B26" s="137"/>
      <c r="C26" s="70"/>
      <c r="D26" s="138"/>
      <c r="E26" s="70"/>
      <c r="F26" s="70"/>
    </row>
    <row r="27" customFormat="false" ht="15" hidden="false" customHeight="false" outlineLevel="0" collapsed="false">
      <c r="A27" s="137"/>
      <c r="B27" s="138"/>
      <c r="C27" s="70"/>
      <c r="D27" s="138"/>
      <c r="E27" s="70"/>
      <c r="F27" s="70"/>
    </row>
    <row r="28" customFormat="false" ht="15" hidden="false" customHeight="false" outlineLevel="0" collapsed="false">
      <c r="A28" s="139"/>
      <c r="C28" s="139"/>
    </row>
    <row r="29" customFormat="false" ht="15" hidden="false" customHeight="false" outlineLevel="0" collapsed="false">
      <c r="A29" s="139"/>
      <c r="C29" s="139"/>
    </row>
  </sheetData>
  <dataValidations count="2">
    <dataValidation allowBlank="true" errorStyle="stop" operator="between" showDropDown="false" showErrorMessage="true" showInputMessage="true" sqref="A4:A27" type="list">
      <formula1>"Visite,Excurion,Transfert,Tour de ville"</formula1>
      <formula2>0</formula2>
    </dataValidation>
    <dataValidation allowBlank="true" errorStyle="stop" operator="between" showDropDown="false" showErrorMessage="true" showInputMessage="true" sqref="B27 A28:A29" type="list">
      <formula1>produit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0.59765625" defaultRowHeight="15" zeroHeight="false" outlineLevelRow="0" outlineLevelCol="0"/>
  <cols>
    <col collapsed="false" customWidth="true" hidden="false" outlineLevel="0" max="2" min="1" style="0" width="25.71"/>
    <col collapsed="false" customWidth="true" hidden="false" outlineLevel="0" max="3" min="3" style="0" width="55.57"/>
    <col collapsed="false" customWidth="true" hidden="false" outlineLevel="0" max="6" min="4" style="0" width="25.71"/>
    <col collapsed="false" customWidth="true" hidden="false" outlineLevel="0" max="7" min="7" style="0" width="62"/>
    <col collapsed="false" customWidth="true" hidden="false" outlineLevel="0" max="8" min="8" style="0" width="14.14"/>
    <col collapsed="false" customWidth="true" hidden="false" outlineLevel="0" max="9" min="9" style="0" width="15.28"/>
    <col collapsed="false" customWidth="true" hidden="false" outlineLevel="0" max="10" min="10" style="0" width="16.86"/>
  </cols>
  <sheetData>
    <row r="3" customFormat="false" ht="15" hidden="false" customHeight="false" outlineLevel="0" collapsed="false">
      <c r="A3" s="136" t="s">
        <v>555</v>
      </c>
      <c r="B3" s="136" t="s">
        <v>546</v>
      </c>
      <c r="C3" s="136" t="s">
        <v>547</v>
      </c>
      <c r="D3" s="136" t="s">
        <v>556</v>
      </c>
      <c r="E3" s="136" t="s">
        <v>549</v>
      </c>
      <c r="F3" s="136" t="s">
        <v>550</v>
      </c>
    </row>
    <row r="4" customFormat="false" ht="15" hidden="false" customHeight="false" outlineLevel="0" collapsed="false">
      <c r="A4" s="137" t="s">
        <v>551</v>
      </c>
      <c r="B4" s="137" t="s">
        <v>552</v>
      </c>
      <c r="C4" s="70" t="s">
        <v>553</v>
      </c>
      <c r="D4" s="138" t="n">
        <v>25000</v>
      </c>
      <c r="E4" s="70" t="n">
        <v>5</v>
      </c>
      <c r="F4" s="70" t="n">
        <f aca="false">Frais_Visites_Autres[[#This Row],[TARIF PAR PAX]]*Frais_Visites_Autres[[#This Row],[QUANTITE]]</f>
        <v>125000</v>
      </c>
    </row>
    <row r="5" customFormat="false" ht="15" hidden="false" customHeight="false" outlineLevel="0" collapsed="false">
      <c r="A5" s="137" t="s">
        <v>557</v>
      </c>
      <c r="B5" s="137" t="s">
        <v>558</v>
      </c>
      <c r="C5" s="70" t="s">
        <v>559</v>
      </c>
      <c r="D5" s="138" t="n">
        <v>165000</v>
      </c>
      <c r="E5" s="70" t="n">
        <v>1</v>
      </c>
      <c r="F5" s="70" t="n">
        <f aca="false">Frais_Visites_Autres[[#This Row],[TARIF PAR PAX]]*Frais_Visites_Autres[[#This Row],[QUANTITE]]</f>
        <v>165000</v>
      </c>
    </row>
    <row r="6" customFormat="false" ht="15" hidden="false" customHeight="false" outlineLevel="0" collapsed="false">
      <c r="A6" s="137" t="s">
        <v>560</v>
      </c>
      <c r="B6" s="137" t="s">
        <v>558</v>
      </c>
      <c r="C6" s="70" t="s">
        <v>561</v>
      </c>
      <c r="D6" s="138" t="n">
        <v>55000</v>
      </c>
      <c r="E6" s="70" t="n">
        <v>5</v>
      </c>
      <c r="F6" s="70" t="n">
        <f aca="false">Frais_Visites_Autres[[#This Row],[TARIF PAR PAX]]*Frais_Visites_Autres[[#This Row],[QUANTITE]]</f>
        <v>275000</v>
      </c>
    </row>
    <row r="7" customFormat="false" ht="15" hidden="false" customHeight="false" outlineLevel="0" collapsed="false">
      <c r="A7" s="137"/>
      <c r="B7" s="137"/>
      <c r="C7" s="70"/>
      <c r="D7" s="138"/>
      <c r="E7" s="70"/>
      <c r="F7" s="70" t="n">
        <f aca="false">Frais_Visites_Autres[[#This Row],[TARIF PAR PAX]]*Frais_Visites_Autres[[#This Row],[QUANTITE]]</f>
        <v>0</v>
      </c>
    </row>
    <row r="8" customFormat="false" ht="15" hidden="false" customHeight="false" outlineLevel="0" collapsed="false">
      <c r="A8" s="137"/>
      <c r="B8" s="137"/>
      <c r="C8" s="70"/>
      <c r="D8" s="137"/>
      <c r="E8" s="70"/>
      <c r="F8" s="70" t="n">
        <f aca="false">Frais_Visites_Autres[[#This Row],[TARIF PAR PAX]]*Frais_Visites_Autres[[#This Row],[QUANTITE]]</f>
        <v>0</v>
      </c>
    </row>
    <row r="9" customFormat="false" ht="15" hidden="false" customHeight="false" outlineLevel="0" collapsed="false">
      <c r="A9" s="137"/>
      <c r="B9" s="137"/>
      <c r="C9" s="70"/>
      <c r="D9" s="137"/>
      <c r="E9" s="70"/>
      <c r="F9" s="70" t="n">
        <f aca="false">Frais_Visites_Autres[[#This Row],[TARIF PAR PAX]]*Frais_Visites_Autres[[#This Row],[QUANTITE]]</f>
        <v>0</v>
      </c>
    </row>
    <row r="10" customFormat="false" ht="15" hidden="false" customHeight="false" outlineLevel="0" collapsed="false">
      <c r="A10" s="137"/>
      <c r="B10" s="137"/>
      <c r="C10" s="70"/>
      <c r="D10" s="137"/>
      <c r="E10" s="70"/>
      <c r="F10" s="70" t="n">
        <f aca="false">Frais_Visites_Autres[[#This Row],[TARIF PAR PAX]]*Frais_Visites_Autres[[#This Row],[QUANTITE]]</f>
        <v>0</v>
      </c>
    </row>
    <row r="11" customFormat="false" ht="15" hidden="false" customHeight="false" outlineLevel="0" collapsed="false">
      <c r="A11" s="137"/>
      <c r="B11" s="137"/>
      <c r="C11" s="70"/>
      <c r="D11" s="137"/>
      <c r="E11" s="70"/>
      <c r="F11" s="70" t="n">
        <f aca="false">Frais_Visites_Autres[[#This Row],[TARIF PAR PAX]]*Frais_Visites_Autres[[#This Row],[QUANTITE]]</f>
        <v>0</v>
      </c>
    </row>
    <row r="12" customFormat="false" ht="15" hidden="false" customHeight="false" outlineLevel="0" collapsed="false">
      <c r="A12" s="137"/>
      <c r="B12" s="137"/>
      <c r="C12" s="70"/>
      <c r="D12" s="137"/>
      <c r="E12" s="70"/>
      <c r="F12" s="70" t="n">
        <f aca="false">Frais_Visites_Autres[[#This Row],[TARIF PAR PAX]]*Frais_Visites_Autres[[#This Row],[QUANTITE]]</f>
        <v>0</v>
      </c>
    </row>
    <row r="13" customFormat="false" ht="15" hidden="false" customHeight="false" outlineLevel="0" collapsed="false">
      <c r="A13" s="137"/>
      <c r="B13" s="137"/>
      <c r="C13" s="70"/>
      <c r="D13" s="138"/>
      <c r="E13" s="70"/>
      <c r="F13" s="70" t="n">
        <f aca="false">Frais_Visites_Autres[[#This Row],[TARIF PAR PAX]]*Frais_Visites_Autres[[#This Row],[QUANTITE]]</f>
        <v>0</v>
      </c>
    </row>
    <row r="14" customFormat="false" ht="15" hidden="false" customHeight="false" outlineLevel="0" collapsed="false">
      <c r="A14" s="137"/>
      <c r="B14" s="137"/>
      <c r="C14" s="70"/>
      <c r="D14" s="138"/>
      <c r="E14" s="70"/>
      <c r="F14" s="70" t="n">
        <f aca="false">Frais_Visites_Autres[[#This Row],[TARIF PAR PAX]]*Frais_Visites_Autres[[#This Row],[QUANTITE]]</f>
        <v>0</v>
      </c>
    </row>
    <row r="15" customFormat="false" ht="15" hidden="false" customHeight="false" outlineLevel="0" collapsed="false">
      <c r="A15" s="137"/>
      <c r="B15" s="137"/>
      <c r="C15" s="70"/>
      <c r="D15" s="138"/>
      <c r="E15" s="70"/>
      <c r="F15" s="70" t="n">
        <f aca="false">Frais_Visites_Autres[[#This Row],[TARIF PAR PAX]]*Frais_Visites_Autres[[#This Row],[QUANTITE]]</f>
        <v>0</v>
      </c>
    </row>
    <row r="16" customFormat="false" ht="15" hidden="false" customHeight="false" outlineLevel="0" collapsed="false">
      <c r="A16" s="137"/>
      <c r="B16" s="137"/>
      <c r="C16" s="70"/>
      <c r="D16" s="138"/>
      <c r="E16" s="70"/>
      <c r="F16" s="70" t="n">
        <f aca="false">Frais_Visites_Autres[[#This Row],[TARIF PAR PAX]]*Frais_Visites_Autres[[#This Row],[QUANTITE]]</f>
        <v>0</v>
      </c>
    </row>
    <row r="17" customFormat="false" ht="15" hidden="false" customHeight="false" outlineLevel="0" collapsed="false">
      <c r="A17" s="137"/>
      <c r="B17" s="137"/>
      <c r="C17" s="70"/>
      <c r="D17" s="138"/>
      <c r="E17" s="70"/>
      <c r="F17" s="70" t="n">
        <f aca="false">Frais_Visites_Autres[[#This Row],[TARIF PAR PAX]]*Frais_Visites_Autres[[#This Row],[QUANTITE]]</f>
        <v>0</v>
      </c>
    </row>
    <row r="18" customFormat="false" ht="15" hidden="false" customHeight="false" outlineLevel="0" collapsed="false">
      <c r="A18" s="137"/>
      <c r="B18" s="137"/>
      <c r="C18" s="70"/>
      <c r="D18" s="138"/>
      <c r="E18" s="70"/>
      <c r="F18" s="70" t="n">
        <f aca="false">Frais_Visites_Autres[[#This Row],[TARIF PAR PAX]]*Frais_Visites_Autres[[#This Row],[QUANTITE]]</f>
        <v>0</v>
      </c>
    </row>
    <row r="19" customFormat="false" ht="15" hidden="false" customHeight="false" outlineLevel="0" collapsed="false">
      <c r="A19" s="137"/>
      <c r="B19" s="137"/>
      <c r="C19" s="70"/>
      <c r="D19" s="138"/>
      <c r="E19" s="70"/>
      <c r="F19" s="70" t="n">
        <f aca="false">Frais_Visites_Autres[[#This Row],[TARIF PAR PAX]]*Frais_Visites_Autres[[#This Row],[QUANTITE]]</f>
        <v>0</v>
      </c>
    </row>
    <row r="20" customFormat="false" ht="15" hidden="false" customHeight="false" outlineLevel="0" collapsed="false">
      <c r="A20" s="137"/>
      <c r="B20" s="137"/>
      <c r="C20" s="70"/>
      <c r="D20" s="138"/>
      <c r="E20" s="70"/>
      <c r="F20" s="70" t="n">
        <f aca="false">Frais_Visites_Autres[[#This Row],[TARIF PAR PAX]]*Frais_Visites_Autres[[#This Row],[QUANTITE]]</f>
        <v>0</v>
      </c>
    </row>
    <row r="21" customFormat="false" ht="15" hidden="false" customHeight="false" outlineLevel="0" collapsed="false">
      <c r="A21" s="137"/>
      <c r="B21" s="137"/>
      <c r="C21" s="70"/>
      <c r="D21" s="138"/>
      <c r="E21" s="70"/>
      <c r="F21" s="70" t="n">
        <f aca="false">Frais_Visites_Autres[[#This Row],[TARIF PAR PAX]]*Frais_Visites_Autres[[#This Row],[QUANTITE]]</f>
        <v>0</v>
      </c>
    </row>
    <row r="22" customFormat="false" ht="15" hidden="false" customHeight="false" outlineLevel="0" collapsed="false">
      <c r="A22" s="137"/>
      <c r="B22" s="137"/>
      <c r="C22" s="70"/>
      <c r="D22" s="138"/>
      <c r="E22" s="70"/>
      <c r="F22" s="70" t="n">
        <f aca="false">Frais_Visites_Autres[[#This Row],[TARIF PAR PAX]]*Frais_Visites_Autres[[#This Row],[QUANTITE]]</f>
        <v>0</v>
      </c>
    </row>
    <row r="23" customFormat="false" ht="15" hidden="false" customHeight="false" outlineLevel="0" collapsed="false">
      <c r="A23" s="137"/>
      <c r="B23" s="137"/>
      <c r="C23" s="70"/>
      <c r="D23" s="138"/>
      <c r="E23" s="70"/>
      <c r="F23" s="70" t="n">
        <f aca="false">Frais_Visites_Autres[[#This Row],[TARIF PAR PAX]]*Frais_Visites_Autres[[#This Row],[QUANTITE]]</f>
        <v>0</v>
      </c>
    </row>
    <row r="24" customFormat="false" ht="15" hidden="false" customHeight="false" outlineLevel="0" collapsed="false">
      <c r="A24" s="137"/>
      <c r="B24" s="137"/>
      <c r="C24" s="70"/>
      <c r="D24" s="138"/>
      <c r="E24" s="70"/>
      <c r="F24" s="70" t="n">
        <f aca="false">Frais_Visites_Autres[[#This Row],[TARIF PAR PAX]]*Frais_Visites_Autres[[#This Row],[QUANTITE]]</f>
        <v>0</v>
      </c>
    </row>
    <row r="25" customFormat="false" ht="15" hidden="false" customHeight="false" outlineLevel="0" collapsed="false">
      <c r="A25" s="137"/>
      <c r="B25" s="137"/>
      <c r="C25" s="70"/>
      <c r="D25" s="138"/>
      <c r="E25" s="70"/>
      <c r="F25" s="70" t="n">
        <f aca="false">Frais_Visites_Autres[[#This Row],[TARIF PAR PAX]]*Frais_Visites_Autres[[#This Row],[QUANTITE]]</f>
        <v>0</v>
      </c>
    </row>
    <row r="26" customFormat="false" ht="15" hidden="false" customHeight="false" outlineLevel="0" collapsed="false">
      <c r="A26" s="137"/>
      <c r="B26" s="137"/>
      <c r="C26" s="70"/>
      <c r="D26" s="138"/>
      <c r="E26" s="70"/>
      <c r="F26" s="70" t="n">
        <f aca="false">Frais_Visites_Autres[[#This Row],[TARIF PAR PAX]]*Frais_Visites_Autres[[#This Row],[QUANTITE]]</f>
        <v>0</v>
      </c>
    </row>
    <row r="27" customFormat="false" ht="15" hidden="false" customHeight="false" outlineLevel="0" collapsed="false">
      <c r="A27" s="137"/>
      <c r="B27" s="138"/>
      <c r="C27" s="70"/>
      <c r="D27" s="138"/>
      <c r="E27" s="70"/>
      <c r="F27" s="70" t="n">
        <f aca="false">Frais_Visites_Autres[[#This Row],[TARIF PAR PAX]]*Frais_Visites_Autres[[#This Row],[QUANTITE]]</f>
        <v>0</v>
      </c>
    </row>
    <row r="28" customFormat="false" ht="15" hidden="false" customHeight="false" outlineLevel="0" collapsed="false">
      <c r="A28" s="139"/>
      <c r="C28" s="139"/>
    </row>
    <row r="29" customFormat="false" ht="15" hidden="false" customHeight="false" outlineLevel="0" collapsed="false">
      <c r="A29" s="139"/>
      <c r="C29" s="139"/>
    </row>
  </sheetData>
  <dataValidations count="2">
    <dataValidation allowBlank="true" errorStyle="stop" operator="between" showDropDown="false" showErrorMessage="true" showInputMessage="true" sqref="B27 A28:A29" type="list">
      <formula1>produit</formula1>
      <formula2>0</formula2>
    </dataValidation>
    <dataValidation allowBlank="true" errorStyle="stop" operator="between" showDropDown="false" showErrorMessage="true" showInputMessage="true" sqref="A4:A27" type="list">
      <formula1>"Visite,Excurion,Transfert,Tour de ville"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46C0A"/>
    <pageSetUpPr fitToPage="false"/>
  </sheetPr>
  <dimension ref="B2:F27"/>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H20" activeCellId="0" sqref="H20"/>
    </sheetView>
  </sheetViews>
  <sheetFormatPr defaultColWidth="10.59765625" defaultRowHeight="15" zeroHeight="false" outlineLevelRow="0" outlineLevelCol="0"/>
  <cols>
    <col collapsed="false" customWidth="true" hidden="false" outlineLevel="0" max="6" min="2" style="0" width="25.71"/>
    <col collapsed="false" customWidth="true" hidden="false" outlineLevel="0" max="9" min="7" style="0" width="18.71"/>
    <col collapsed="false" customWidth="true" hidden="false" outlineLevel="0" max="11" min="11" style="0" width="11.57"/>
  </cols>
  <sheetData>
    <row r="2" customFormat="false" ht="16.4" hidden="false" customHeight="false" outlineLevel="0" collapsed="false">
      <c r="B2" s="61" t="s">
        <v>562</v>
      </c>
      <c r="C2" s="61" t="s">
        <v>563</v>
      </c>
      <c r="D2" s="61" t="s">
        <v>564</v>
      </c>
      <c r="E2" s="140" t="s">
        <v>565</v>
      </c>
      <c r="F2" s="140" t="s">
        <v>566</v>
      </c>
    </row>
    <row r="3" customFormat="false" ht="15" hidden="false" customHeight="false" outlineLevel="0" collapsed="false">
      <c r="B3" s="141"/>
      <c r="C3" s="142"/>
      <c r="D3" s="142"/>
      <c r="E3" s="143"/>
      <c r="F3" s="143"/>
    </row>
    <row r="4" customFormat="false" ht="15" hidden="false" customHeight="false" outlineLevel="0" collapsed="false">
      <c r="B4" s="141"/>
      <c r="C4" s="144"/>
      <c r="D4" s="144"/>
      <c r="E4" s="143"/>
      <c r="F4" s="143"/>
    </row>
    <row r="5" customFormat="false" ht="15" hidden="false" customHeight="false" outlineLevel="0" collapsed="false">
      <c r="B5" s="141"/>
      <c r="C5" s="144"/>
      <c r="D5" s="144"/>
      <c r="E5" s="143"/>
      <c r="F5" s="143"/>
    </row>
    <row r="6" customFormat="false" ht="15" hidden="false" customHeight="false" outlineLevel="0" collapsed="false">
      <c r="B6" s="141"/>
      <c r="C6" s="144"/>
      <c r="D6" s="144"/>
      <c r="E6" s="143"/>
      <c r="F6" s="143"/>
    </row>
    <row r="7" customFormat="false" ht="15" hidden="false" customHeight="false" outlineLevel="0" collapsed="false">
      <c r="B7" s="141"/>
      <c r="C7" s="141"/>
      <c r="D7" s="141"/>
      <c r="E7" s="141"/>
      <c r="F7" s="141"/>
    </row>
    <row r="8" customFormat="false" ht="15" hidden="false" customHeight="false" outlineLevel="0" collapsed="false">
      <c r="B8" s="141"/>
      <c r="C8" s="144"/>
      <c r="D8" s="144"/>
      <c r="E8" s="143"/>
      <c r="F8" s="143"/>
    </row>
    <row r="9" customFormat="false" ht="15" hidden="false" customHeight="false" outlineLevel="0" collapsed="false">
      <c r="B9" s="141"/>
      <c r="C9" s="144"/>
      <c r="D9" s="144"/>
      <c r="E9" s="143"/>
      <c r="F9" s="143"/>
    </row>
    <row r="10" customFormat="false" ht="15" hidden="false" customHeight="false" outlineLevel="0" collapsed="false">
      <c r="B10" s="141"/>
      <c r="C10" s="142"/>
      <c r="D10" s="142"/>
      <c r="E10" s="143"/>
      <c r="F10" s="143"/>
    </row>
    <row r="11" customFormat="false" ht="15" hidden="false" customHeight="false" outlineLevel="0" collapsed="false">
      <c r="B11" s="141"/>
      <c r="C11" s="144"/>
      <c r="D11" s="144"/>
      <c r="E11" s="143"/>
      <c r="F11" s="143"/>
    </row>
    <row r="12" customFormat="false" ht="15" hidden="false" customHeight="false" outlineLevel="0" collapsed="false">
      <c r="B12" s="141"/>
      <c r="C12" s="144"/>
      <c r="D12" s="144"/>
      <c r="E12" s="143"/>
      <c r="F12" s="143"/>
    </row>
    <row r="13" customFormat="false" ht="15" hidden="false" customHeight="false" outlineLevel="0" collapsed="false">
      <c r="B13" s="141"/>
      <c r="C13" s="144"/>
      <c r="D13" s="144"/>
      <c r="E13" s="143"/>
      <c r="F13" s="143"/>
    </row>
    <row r="14" customFormat="false" ht="15" hidden="false" customHeight="false" outlineLevel="0" collapsed="false">
      <c r="B14" s="141"/>
      <c r="C14" s="141"/>
      <c r="D14" s="141"/>
      <c r="E14" s="141"/>
      <c r="F14" s="141"/>
    </row>
    <row r="15" customFormat="false" ht="15" hidden="false" customHeight="false" outlineLevel="0" collapsed="false">
      <c r="B15" s="141"/>
      <c r="C15" s="144"/>
      <c r="D15" s="144"/>
      <c r="E15" s="143"/>
      <c r="F15" s="143"/>
    </row>
    <row r="16" customFormat="false" ht="15" hidden="false" customHeight="false" outlineLevel="0" collapsed="false">
      <c r="B16" s="141"/>
      <c r="C16" s="144"/>
      <c r="D16" s="144"/>
      <c r="E16" s="143"/>
      <c r="F16" s="143"/>
    </row>
    <row r="17" customFormat="false" ht="15" hidden="false" customHeight="false" outlineLevel="0" collapsed="false">
      <c r="B17" s="141"/>
      <c r="C17" s="142"/>
      <c r="D17" s="142"/>
      <c r="E17" s="143"/>
      <c r="F17" s="143"/>
    </row>
    <row r="18" customFormat="false" ht="15" hidden="false" customHeight="false" outlineLevel="0" collapsed="false">
      <c r="B18" s="141"/>
      <c r="C18" s="144"/>
      <c r="D18" s="144"/>
      <c r="E18" s="143"/>
      <c r="F18" s="143"/>
    </row>
    <row r="19" customFormat="false" ht="15" hidden="false" customHeight="false" outlineLevel="0" collapsed="false">
      <c r="B19" s="141"/>
      <c r="C19" s="144"/>
      <c r="D19" s="144"/>
      <c r="E19" s="143"/>
      <c r="F19" s="143"/>
    </row>
    <row r="20" customFormat="false" ht="15" hidden="false" customHeight="false" outlineLevel="0" collapsed="false">
      <c r="B20" s="141"/>
      <c r="C20" s="144"/>
      <c r="D20" s="144"/>
      <c r="E20" s="143"/>
      <c r="F20" s="143"/>
    </row>
    <row r="21" customFormat="false" ht="15" hidden="false" customHeight="false" outlineLevel="0" collapsed="false">
      <c r="B21" s="141"/>
      <c r="C21" s="141"/>
      <c r="D21" s="141"/>
      <c r="E21" s="141"/>
      <c r="F21" s="141"/>
    </row>
    <row r="22" customFormat="false" ht="15" hidden="false" customHeight="false" outlineLevel="0" collapsed="false">
      <c r="B22" s="141"/>
      <c r="C22" s="144"/>
      <c r="D22" s="144"/>
      <c r="E22" s="143"/>
      <c r="F22" s="143"/>
    </row>
    <row r="23" customFormat="false" ht="15" hidden="false" customHeight="false" outlineLevel="0" collapsed="false">
      <c r="B23" s="141"/>
      <c r="C23" s="144"/>
      <c r="D23" s="144"/>
      <c r="E23" s="143"/>
      <c r="F23" s="143"/>
    </row>
    <row r="24" customFormat="false" ht="15" hidden="false" customHeight="false" outlineLevel="0" collapsed="false">
      <c r="B24" s="141"/>
      <c r="C24" s="142"/>
      <c r="D24" s="142"/>
      <c r="E24" s="143"/>
      <c r="F24" s="143"/>
    </row>
    <row r="25" customFormat="false" ht="15" hidden="false" customHeight="false" outlineLevel="0" collapsed="false">
      <c r="B25" s="141"/>
      <c r="C25" s="144"/>
      <c r="D25" s="144"/>
      <c r="E25" s="143"/>
      <c r="F25" s="143"/>
    </row>
    <row r="26" customFormat="false" ht="15" hidden="false" customHeight="false" outlineLevel="0" collapsed="false">
      <c r="B26" s="141"/>
      <c r="C26" s="144"/>
      <c r="D26" s="144"/>
      <c r="E26" s="143"/>
      <c r="F26" s="143"/>
    </row>
    <row r="27" customFormat="false" ht="15" hidden="false" customHeight="false" outlineLevel="0" collapsed="false">
      <c r="B27" s="141"/>
      <c r="C27" s="144"/>
      <c r="D27" s="144"/>
      <c r="E27" s="143"/>
      <c r="F27" s="1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9" activeCellId="0" sqref="J19"/>
    </sheetView>
  </sheetViews>
  <sheetFormatPr defaultColWidth="10.59765625" defaultRowHeight="15" zeroHeight="false" outlineLevelRow="0" outlineLevelCol="0"/>
  <cols>
    <col collapsed="false" customWidth="true" hidden="false" outlineLevel="0" max="1" min="1" style="0" width="17.71"/>
    <col collapsed="false" customWidth="true" hidden="false" outlineLevel="0" max="6" min="6" style="0" width="19.72"/>
    <col collapsed="false" customWidth="true" hidden="false" outlineLevel="0" max="11" min="11" style="0" width="18.29"/>
  </cols>
  <sheetData>
    <row r="1" customFormat="false" ht="15" hidden="false" customHeight="false" outlineLevel="0" collapsed="false">
      <c r="A1" s="145" t="s">
        <v>567</v>
      </c>
      <c r="B1" s="145" t="s">
        <v>568</v>
      </c>
      <c r="C1" s="145" t="s">
        <v>569</v>
      </c>
      <c r="D1" s="145" t="s">
        <v>570</v>
      </c>
      <c r="E1" s="146"/>
      <c r="F1" s="145" t="s">
        <v>567</v>
      </c>
      <c r="G1" s="145" t="s">
        <v>568</v>
      </c>
      <c r="H1" s="145" t="s">
        <v>569</v>
      </c>
      <c r="I1" s="147" t="s">
        <v>570</v>
      </c>
      <c r="J1" s="148"/>
      <c r="K1" s="145" t="s">
        <v>567</v>
      </c>
      <c r="L1" s="145" t="s">
        <v>568</v>
      </c>
      <c r="M1" s="145" t="s">
        <v>569</v>
      </c>
      <c r="N1" s="147" t="s">
        <v>570</v>
      </c>
      <c r="O1" s="146"/>
    </row>
    <row r="2" customFormat="false" ht="15" hidden="false" customHeight="false" outlineLevel="0" collapsed="false">
      <c r="A2" s="149" t="s">
        <v>571</v>
      </c>
      <c r="B2" s="149"/>
      <c r="C2" s="149"/>
      <c r="D2" s="149"/>
      <c r="E2" s="150"/>
      <c r="F2" s="149" t="s">
        <v>572</v>
      </c>
      <c r="G2" s="149"/>
      <c r="H2" s="149"/>
      <c r="I2" s="149"/>
      <c r="J2" s="150"/>
      <c r="K2" s="149" t="s">
        <v>573</v>
      </c>
      <c r="L2" s="149"/>
      <c r="M2" s="149"/>
      <c r="N2" s="149"/>
      <c r="O2" s="150"/>
    </row>
    <row r="3" customFormat="false" ht="15" hidden="false" customHeight="false" outlineLevel="0" collapsed="false">
      <c r="A3" s="151" t="s">
        <v>170</v>
      </c>
      <c r="B3" s="152" t="n">
        <v>0</v>
      </c>
      <c r="C3" s="152"/>
      <c r="D3" s="152"/>
      <c r="E3" s="150"/>
      <c r="F3" s="151" t="s">
        <v>170</v>
      </c>
      <c r="G3" s="152" t="n">
        <v>0</v>
      </c>
      <c r="H3" s="152"/>
      <c r="I3" s="152"/>
      <c r="J3" s="150"/>
      <c r="K3" s="151" t="s">
        <v>574</v>
      </c>
      <c r="L3" s="152" t="n">
        <v>0</v>
      </c>
      <c r="M3" s="153"/>
      <c r="N3" s="152"/>
      <c r="O3" s="150"/>
    </row>
    <row r="4" customFormat="false" ht="15" hidden="false" customHeight="false" outlineLevel="0" collapsed="false">
      <c r="A4" s="152" t="s">
        <v>227</v>
      </c>
      <c r="B4" s="152" t="n">
        <v>169</v>
      </c>
      <c r="C4" s="152" t="n">
        <v>169</v>
      </c>
      <c r="D4" s="152" t="n">
        <v>4</v>
      </c>
      <c r="E4" s="150"/>
      <c r="F4" s="152" t="s">
        <v>575</v>
      </c>
      <c r="G4" s="152" t="n">
        <v>87</v>
      </c>
      <c r="H4" s="152" t="n">
        <v>87</v>
      </c>
      <c r="I4" s="154" t="n">
        <v>2</v>
      </c>
      <c r="J4" s="150"/>
      <c r="K4" s="152" t="s">
        <v>576</v>
      </c>
      <c r="L4" s="152" t="n">
        <v>75</v>
      </c>
      <c r="M4" s="153" t="n">
        <v>75</v>
      </c>
      <c r="N4" s="152"/>
      <c r="O4" s="150"/>
    </row>
    <row r="5" customFormat="false" ht="15" hidden="false" customHeight="false" outlineLevel="0" collapsed="false">
      <c r="A5" s="152" t="s">
        <v>363</v>
      </c>
      <c r="B5" s="152" t="n">
        <v>224</v>
      </c>
      <c r="C5" s="152" t="n">
        <f aca="false">+C4+B5</f>
        <v>393</v>
      </c>
      <c r="D5" s="152" t="n">
        <v>5</v>
      </c>
      <c r="E5" s="150"/>
      <c r="F5" s="152" t="s">
        <v>366</v>
      </c>
      <c r="G5" s="152" t="n">
        <v>28</v>
      </c>
      <c r="H5" s="152" t="n">
        <f aca="false">+H4+G5</f>
        <v>115</v>
      </c>
      <c r="I5" s="154" t="s">
        <v>577</v>
      </c>
      <c r="J5" s="150"/>
      <c r="K5" s="152" t="s">
        <v>451</v>
      </c>
      <c r="L5" s="152" t="n">
        <v>35</v>
      </c>
      <c r="M5" s="153" t="n">
        <f aca="false">+M4+L5</f>
        <v>110</v>
      </c>
      <c r="N5" s="152"/>
      <c r="O5" s="150"/>
    </row>
    <row r="6" customFormat="false" ht="15" hidden="false" customHeight="false" outlineLevel="0" collapsed="false">
      <c r="A6" s="152" t="s">
        <v>335</v>
      </c>
      <c r="B6" s="152" t="n">
        <v>286</v>
      </c>
      <c r="C6" s="152" t="n">
        <f aca="false">+C5+B6</f>
        <v>679</v>
      </c>
      <c r="D6" s="152" t="n">
        <v>5</v>
      </c>
      <c r="E6" s="150"/>
      <c r="F6" s="152" t="s">
        <v>369</v>
      </c>
      <c r="G6" s="152" t="n">
        <v>39</v>
      </c>
      <c r="H6" s="152" t="n">
        <f aca="false">+H5+G6</f>
        <v>154</v>
      </c>
      <c r="I6" s="152" t="n">
        <v>1</v>
      </c>
      <c r="J6" s="150"/>
      <c r="K6" s="152" t="s">
        <v>578</v>
      </c>
      <c r="L6" s="152" t="n">
        <v>45</v>
      </c>
      <c r="M6" s="153" t="n">
        <f aca="false">+M5+L6</f>
        <v>155</v>
      </c>
      <c r="N6" s="152"/>
      <c r="O6" s="150"/>
    </row>
    <row r="7" customFormat="false" ht="15" hidden="false" customHeight="false" outlineLevel="0" collapsed="false">
      <c r="A7" s="152" t="s">
        <v>579</v>
      </c>
      <c r="B7" s="152" t="n">
        <v>106</v>
      </c>
      <c r="C7" s="152" t="n">
        <f aca="false">+C6+B7</f>
        <v>785</v>
      </c>
      <c r="D7" s="152" t="n">
        <v>3</v>
      </c>
      <c r="E7" s="150"/>
      <c r="F7" s="152" t="s">
        <v>580</v>
      </c>
      <c r="G7" s="152" t="n">
        <v>123</v>
      </c>
      <c r="H7" s="152" t="n">
        <f aca="false">+H6+G7</f>
        <v>277</v>
      </c>
      <c r="I7" s="154" t="n">
        <v>2</v>
      </c>
      <c r="J7" s="150"/>
      <c r="K7" s="152" t="s">
        <v>581</v>
      </c>
      <c r="L7" s="152" t="n">
        <v>102</v>
      </c>
      <c r="M7" s="153" t="n">
        <f aca="false">+M6+L7</f>
        <v>257</v>
      </c>
      <c r="N7" s="152"/>
      <c r="O7" s="150"/>
    </row>
    <row r="8" customFormat="false" ht="15" hidden="false" customHeight="false" outlineLevel="0" collapsed="false">
      <c r="A8" s="155" t="s">
        <v>350</v>
      </c>
      <c r="B8" s="152" t="n">
        <v>98</v>
      </c>
      <c r="C8" s="152" t="n">
        <f aca="false">+C7+B8</f>
        <v>883</v>
      </c>
      <c r="D8" s="156" t="n">
        <v>4</v>
      </c>
      <c r="E8" s="150"/>
      <c r="F8" s="155" t="s">
        <v>582</v>
      </c>
      <c r="G8" s="152" t="n">
        <v>103</v>
      </c>
      <c r="H8" s="152" t="n">
        <f aca="false">+H7+G8</f>
        <v>380</v>
      </c>
      <c r="I8" s="156" t="n">
        <v>2</v>
      </c>
      <c r="J8" s="150"/>
      <c r="K8" s="155" t="s">
        <v>583</v>
      </c>
      <c r="L8" s="152" t="n">
        <v>15</v>
      </c>
      <c r="M8" s="153" t="n">
        <f aca="false">+M7+L8</f>
        <v>272</v>
      </c>
      <c r="N8" s="152"/>
      <c r="O8" s="150"/>
    </row>
    <row r="9" customFormat="false" ht="15" hidden="false" customHeight="false" outlineLevel="0" collapsed="false">
      <c r="A9" s="151" t="s">
        <v>335</v>
      </c>
      <c r="B9" s="152" t="n">
        <v>0</v>
      </c>
      <c r="C9" s="152"/>
      <c r="D9" s="157"/>
      <c r="E9" s="150"/>
      <c r="F9" s="151" t="s">
        <v>580</v>
      </c>
      <c r="G9" s="152" t="n">
        <v>0</v>
      </c>
      <c r="H9" s="152"/>
      <c r="I9" s="157"/>
      <c r="J9" s="150"/>
      <c r="K9" s="150"/>
      <c r="L9" s="150"/>
      <c r="M9" s="150"/>
      <c r="N9" s="158"/>
      <c r="O9" s="150"/>
    </row>
    <row r="10" customFormat="false" ht="15" hidden="false" customHeight="false" outlineLevel="0" collapsed="false">
      <c r="A10" s="152" t="s">
        <v>356</v>
      </c>
      <c r="B10" s="152" t="n">
        <v>90</v>
      </c>
      <c r="C10" s="152" t="n">
        <v>90</v>
      </c>
      <c r="D10" s="159" t="n">
        <v>4</v>
      </c>
      <c r="E10" s="150"/>
      <c r="F10" s="155" t="s">
        <v>385</v>
      </c>
      <c r="G10" s="152" t="n">
        <v>20</v>
      </c>
      <c r="H10" s="152" t="n">
        <v>20</v>
      </c>
      <c r="I10" s="160" t="s">
        <v>584</v>
      </c>
      <c r="J10" s="150"/>
      <c r="K10" s="151" t="s">
        <v>574</v>
      </c>
      <c r="L10" s="152" t="n">
        <v>0</v>
      </c>
      <c r="M10" s="152"/>
      <c r="N10" s="161" t="s">
        <v>570</v>
      </c>
      <c r="O10" s="150"/>
    </row>
    <row r="11" customFormat="false" ht="15" hidden="false" customHeight="false" outlineLevel="0" collapsed="false">
      <c r="A11" s="152" t="s">
        <v>585</v>
      </c>
      <c r="B11" s="152" t="n">
        <v>115</v>
      </c>
      <c r="C11" s="152" t="n">
        <f aca="false">+C10+B11</f>
        <v>205</v>
      </c>
      <c r="D11" s="162" t="n">
        <v>6</v>
      </c>
      <c r="E11" s="150"/>
      <c r="F11" s="151" t="s">
        <v>582</v>
      </c>
      <c r="G11" s="152" t="n">
        <v>0</v>
      </c>
      <c r="H11" s="152"/>
      <c r="I11" s="161"/>
      <c r="J11" s="150"/>
      <c r="K11" s="155" t="s">
        <v>586</v>
      </c>
      <c r="L11" s="152" t="n">
        <v>39</v>
      </c>
      <c r="M11" s="152" t="n">
        <v>39</v>
      </c>
      <c r="N11" s="159"/>
      <c r="O11" s="150"/>
    </row>
    <row r="12" customFormat="false" ht="15" hidden="false" customHeight="false" outlineLevel="0" collapsed="false">
      <c r="A12" s="152" t="s">
        <v>587</v>
      </c>
      <c r="B12" s="152" t="n">
        <v>160</v>
      </c>
      <c r="C12" s="152" t="n">
        <f aca="false">+C11+B12</f>
        <v>365</v>
      </c>
      <c r="D12" s="152" t="n">
        <v>7</v>
      </c>
      <c r="E12" s="150"/>
      <c r="F12" s="152" t="s">
        <v>588</v>
      </c>
      <c r="G12" s="152" t="n">
        <v>60</v>
      </c>
      <c r="H12" s="152" t="n">
        <v>60</v>
      </c>
      <c r="I12" s="159" t="n">
        <v>2</v>
      </c>
      <c r="J12" s="150"/>
      <c r="K12" s="151" t="s">
        <v>574</v>
      </c>
      <c r="L12" s="152" t="n">
        <v>0</v>
      </c>
      <c r="M12" s="153"/>
      <c r="N12" s="152"/>
      <c r="O12" s="150"/>
    </row>
    <row r="13" customFormat="false" ht="15" hidden="false" customHeight="false" outlineLevel="0" collapsed="false">
      <c r="A13" s="152" t="s">
        <v>589</v>
      </c>
      <c r="B13" s="152" t="n">
        <v>90</v>
      </c>
      <c r="C13" s="152" t="n">
        <f aca="false">+C12+B13</f>
        <v>455</v>
      </c>
      <c r="D13" s="152" t="n">
        <v>4</v>
      </c>
      <c r="E13" s="150"/>
      <c r="F13" s="152" t="s">
        <v>408</v>
      </c>
      <c r="G13" s="152" t="n">
        <v>44</v>
      </c>
      <c r="H13" s="152" t="n">
        <f aca="false">+H12+G13</f>
        <v>104</v>
      </c>
      <c r="I13" s="152" t="n">
        <v>1</v>
      </c>
      <c r="J13" s="150"/>
      <c r="K13" s="155" t="s">
        <v>590</v>
      </c>
      <c r="L13" s="152" t="n">
        <v>5</v>
      </c>
      <c r="M13" s="153" t="n">
        <v>5</v>
      </c>
      <c r="N13" s="152"/>
      <c r="O13" s="150"/>
    </row>
    <row r="14" customFormat="false" ht="15" hidden="false" customHeight="false" outlineLevel="0" collapsed="false">
      <c r="A14" s="152" t="s">
        <v>300</v>
      </c>
      <c r="B14" s="152" t="n">
        <v>90</v>
      </c>
      <c r="C14" s="152" t="n">
        <f aca="false">+C13+B14</f>
        <v>545</v>
      </c>
      <c r="D14" s="152" t="n">
        <v>4</v>
      </c>
      <c r="E14" s="150"/>
      <c r="F14" s="155" t="s">
        <v>591</v>
      </c>
      <c r="G14" s="152" t="n">
        <v>68</v>
      </c>
      <c r="H14" s="152" t="n">
        <f aca="false">+H13+G14</f>
        <v>172</v>
      </c>
      <c r="I14" s="152" t="n">
        <v>2</v>
      </c>
      <c r="J14" s="150"/>
      <c r="K14" s="150"/>
      <c r="L14" s="150"/>
      <c r="M14" s="150"/>
      <c r="N14" s="150"/>
      <c r="O14" s="150"/>
    </row>
    <row r="15" customFormat="false" ht="15" hidden="false" customHeight="false" outlineLevel="0" collapsed="false">
      <c r="A15" s="155" t="s">
        <v>592</v>
      </c>
      <c r="B15" s="152" t="n">
        <v>100</v>
      </c>
      <c r="C15" s="152" t="n">
        <f aca="false">+C14+B15</f>
        <v>645</v>
      </c>
      <c r="D15" s="152" t="n">
        <v>4</v>
      </c>
      <c r="E15" s="150"/>
      <c r="F15" s="150"/>
      <c r="G15" s="150"/>
      <c r="H15" s="150"/>
      <c r="I15" s="150"/>
      <c r="J15" s="150"/>
      <c r="K15" s="150"/>
      <c r="L15" s="150"/>
      <c r="M15" s="150"/>
      <c r="N15" s="150"/>
      <c r="O15" s="150"/>
    </row>
    <row r="16" customFormat="false" ht="15" hidden="false" customHeight="false" outlineLevel="0" collapsed="false">
      <c r="A16" s="150"/>
      <c r="B16" s="150"/>
      <c r="C16" s="150"/>
      <c r="D16" s="150"/>
      <c r="E16" s="150"/>
      <c r="F16" s="150"/>
      <c r="G16" s="150"/>
      <c r="H16" s="150"/>
      <c r="I16" s="150"/>
      <c r="J16" s="150"/>
      <c r="K16" s="150"/>
      <c r="L16" s="150"/>
      <c r="M16" s="150"/>
      <c r="N16" s="150"/>
      <c r="O16" s="150"/>
    </row>
    <row r="17" customFormat="false" ht="15" hidden="false" customHeight="false" outlineLevel="0" collapsed="false">
      <c r="A17" s="149" t="s">
        <v>593</v>
      </c>
      <c r="B17" s="149"/>
      <c r="C17" s="149"/>
      <c r="D17" s="149"/>
      <c r="E17" s="150"/>
      <c r="F17" s="149" t="s">
        <v>594</v>
      </c>
      <c r="G17" s="149"/>
      <c r="H17" s="149"/>
      <c r="I17" s="149"/>
      <c r="J17" s="150"/>
      <c r="K17" s="149" t="s">
        <v>595</v>
      </c>
      <c r="L17" s="149"/>
      <c r="M17" s="149"/>
      <c r="N17" s="149"/>
      <c r="O17" s="150"/>
    </row>
    <row r="18" customFormat="false" ht="15" hidden="false" customHeight="false" outlineLevel="0" collapsed="false">
      <c r="A18" s="151" t="s">
        <v>170</v>
      </c>
      <c r="B18" s="152" t="n">
        <v>0</v>
      </c>
      <c r="C18" s="152"/>
      <c r="D18" s="161" t="s">
        <v>570</v>
      </c>
      <c r="E18" s="150"/>
      <c r="F18" s="151" t="s">
        <v>596</v>
      </c>
      <c r="G18" s="152" t="n">
        <v>0</v>
      </c>
      <c r="H18" s="152"/>
      <c r="I18" s="161" t="s">
        <v>570</v>
      </c>
      <c r="J18" s="150"/>
      <c r="K18" s="151" t="s">
        <v>431</v>
      </c>
      <c r="L18" s="152" t="n">
        <v>0</v>
      </c>
      <c r="M18" s="152"/>
      <c r="N18" s="161" t="s">
        <v>570</v>
      </c>
      <c r="O18" s="150"/>
    </row>
    <row r="19" customFormat="false" ht="15" hidden="false" customHeight="false" outlineLevel="0" collapsed="false">
      <c r="A19" s="152" t="s">
        <v>227</v>
      </c>
      <c r="B19" s="152" t="n">
        <v>169</v>
      </c>
      <c r="C19" s="152" t="n">
        <v>169</v>
      </c>
      <c r="D19" s="152" t="n">
        <v>4</v>
      </c>
      <c r="E19" s="150"/>
      <c r="F19" s="152" t="s">
        <v>597</v>
      </c>
      <c r="G19" s="152" t="n">
        <v>94</v>
      </c>
      <c r="H19" s="152" t="n">
        <v>94</v>
      </c>
      <c r="I19" s="152"/>
      <c r="J19" s="150"/>
      <c r="K19" s="152" t="s">
        <v>435</v>
      </c>
      <c r="L19" s="152" t="n">
        <v>89</v>
      </c>
      <c r="M19" s="152" t="n">
        <v>89</v>
      </c>
      <c r="N19" s="152"/>
      <c r="O19" s="150"/>
    </row>
    <row r="20" customFormat="false" ht="15" hidden="false" customHeight="false" outlineLevel="0" collapsed="false">
      <c r="A20" s="152" t="s">
        <v>237</v>
      </c>
      <c r="B20" s="152" t="n">
        <v>90</v>
      </c>
      <c r="C20" s="152" t="n">
        <f aca="false">+C19+B20</f>
        <v>259</v>
      </c>
      <c r="D20" s="154" t="s">
        <v>598</v>
      </c>
      <c r="E20" s="150" t="n">
        <v>90</v>
      </c>
      <c r="F20" s="152" t="s">
        <v>599</v>
      </c>
      <c r="G20" s="152" t="n">
        <v>129</v>
      </c>
      <c r="H20" s="152" t="n">
        <f aca="false">+H19+G20</f>
        <v>223</v>
      </c>
      <c r="I20" s="152"/>
      <c r="J20" s="150"/>
      <c r="K20" s="155" t="s">
        <v>600</v>
      </c>
      <c r="L20" s="158" t="n">
        <v>119</v>
      </c>
      <c r="M20" s="158" t="n">
        <f aca="false">+M19+L20</f>
        <v>208</v>
      </c>
      <c r="N20" s="152"/>
      <c r="O20" s="150"/>
    </row>
    <row r="21" customFormat="false" ht="15" hidden="false" customHeight="false" outlineLevel="0" collapsed="false">
      <c r="A21" s="152" t="s">
        <v>601</v>
      </c>
      <c r="B21" s="152" t="n">
        <v>95</v>
      </c>
      <c r="C21" s="152" t="n">
        <f aca="false">+C20+B21</f>
        <v>354</v>
      </c>
      <c r="D21" s="152" t="n">
        <v>2</v>
      </c>
      <c r="E21" s="150" t="n">
        <v>93</v>
      </c>
      <c r="F21" s="152" t="s">
        <v>602</v>
      </c>
      <c r="G21" s="152" t="n">
        <v>106</v>
      </c>
      <c r="H21" s="152" t="n">
        <f aca="false">+H20+G21</f>
        <v>329</v>
      </c>
      <c r="I21" s="152"/>
      <c r="J21" s="150"/>
      <c r="K21" s="151" t="s">
        <v>435</v>
      </c>
      <c r="L21" s="152" t="n">
        <v>0</v>
      </c>
      <c r="M21" s="152"/>
      <c r="N21" s="161" t="s">
        <v>570</v>
      </c>
      <c r="O21" s="150"/>
    </row>
    <row r="22" customFormat="false" ht="15" hidden="false" customHeight="false" outlineLevel="0" collapsed="false">
      <c r="A22" s="152" t="s">
        <v>244</v>
      </c>
      <c r="B22" s="152" t="n">
        <v>67</v>
      </c>
      <c r="C22" s="152" t="n">
        <f aca="false">+C21+B22</f>
        <v>421</v>
      </c>
      <c r="D22" s="154" t="s">
        <v>598</v>
      </c>
      <c r="E22" s="150" t="n">
        <v>67</v>
      </c>
      <c r="F22" s="152" t="s">
        <v>603</v>
      </c>
      <c r="G22" s="152" t="n">
        <v>96</v>
      </c>
      <c r="H22" s="152" t="n">
        <f aca="false">+H21+G22</f>
        <v>425</v>
      </c>
      <c r="I22" s="152"/>
      <c r="J22" s="150"/>
      <c r="K22" s="152" t="s">
        <v>604</v>
      </c>
      <c r="L22" s="163" t="n">
        <v>153</v>
      </c>
      <c r="M22" s="163" t="n">
        <v>153</v>
      </c>
      <c r="N22" s="152"/>
      <c r="O22" s="150"/>
    </row>
    <row r="23" customFormat="false" ht="15" hidden="false" customHeight="false" outlineLevel="0" collapsed="false">
      <c r="A23" s="155" t="s">
        <v>260</v>
      </c>
      <c r="B23" s="152" t="n">
        <v>63</v>
      </c>
      <c r="C23" s="152" t="n">
        <f aca="false">+C22+B23</f>
        <v>484</v>
      </c>
      <c r="D23" s="152" t="n">
        <v>1</v>
      </c>
      <c r="E23" s="150" t="n">
        <f aca="false">SUM(E20:E22)</f>
        <v>250</v>
      </c>
      <c r="F23" s="152" t="s">
        <v>605</v>
      </c>
      <c r="G23" s="152" t="n">
        <v>40</v>
      </c>
      <c r="H23" s="152" t="n">
        <f aca="false">+H22+G23</f>
        <v>465</v>
      </c>
      <c r="I23" s="152"/>
      <c r="J23" s="150"/>
      <c r="K23" s="152" t="s">
        <v>578</v>
      </c>
      <c r="L23" s="152" t="n">
        <v>164</v>
      </c>
      <c r="M23" s="152" t="n">
        <f aca="false">+M22+L23</f>
        <v>317</v>
      </c>
      <c r="N23" s="152"/>
      <c r="O23" s="150"/>
    </row>
    <row r="24" customFormat="false" ht="15" hidden="false" customHeight="false" outlineLevel="0" collapsed="false">
      <c r="A24" s="151" t="s">
        <v>170</v>
      </c>
      <c r="B24" s="152" t="n">
        <v>0</v>
      </c>
      <c r="C24" s="152"/>
      <c r="D24" s="161" t="s">
        <v>570</v>
      </c>
      <c r="E24" s="150"/>
      <c r="F24" s="155" t="s">
        <v>606</v>
      </c>
      <c r="G24" s="152" t="n">
        <v>113</v>
      </c>
      <c r="H24" s="152" t="n">
        <f aca="false">+H23+G24</f>
        <v>578</v>
      </c>
      <c r="I24" s="152"/>
      <c r="J24" s="150"/>
      <c r="K24" s="155" t="s">
        <v>574</v>
      </c>
      <c r="L24" s="152" t="n">
        <v>117</v>
      </c>
      <c r="M24" s="152" t="n">
        <f aca="false">+M23+L24</f>
        <v>434</v>
      </c>
      <c r="N24" s="152"/>
      <c r="O24" s="150"/>
    </row>
    <row r="25" customFormat="false" ht="15" hidden="false" customHeight="false" outlineLevel="0" collapsed="false">
      <c r="A25" s="152" t="s">
        <v>260</v>
      </c>
      <c r="B25" s="152" t="n">
        <v>405</v>
      </c>
      <c r="C25" s="152" t="n">
        <v>405</v>
      </c>
      <c r="D25" s="152" t="n">
        <v>10</v>
      </c>
      <c r="E25" s="150"/>
      <c r="F25" s="151" t="s">
        <v>606</v>
      </c>
      <c r="G25" s="163" t="n">
        <v>0</v>
      </c>
      <c r="H25" s="152"/>
      <c r="I25" s="161" t="s">
        <v>570</v>
      </c>
      <c r="J25" s="150"/>
      <c r="K25" s="150"/>
      <c r="L25" s="150"/>
      <c r="M25" s="150"/>
      <c r="N25" s="150"/>
      <c r="O25" s="150"/>
    </row>
    <row r="26" customFormat="false" ht="15" hidden="false" customHeight="false" outlineLevel="0" collapsed="false">
      <c r="A26" s="152" t="s">
        <v>607</v>
      </c>
      <c r="B26" s="152" t="n">
        <v>56</v>
      </c>
      <c r="C26" s="152" t="n">
        <f aca="false">+C25+B26</f>
        <v>461</v>
      </c>
      <c r="D26" s="152" t="n">
        <v>1</v>
      </c>
      <c r="E26" s="150"/>
      <c r="F26" s="152" t="s">
        <v>608</v>
      </c>
      <c r="G26" s="152" t="n">
        <v>82</v>
      </c>
      <c r="H26" s="152" t="n">
        <v>82</v>
      </c>
      <c r="I26" s="152"/>
      <c r="J26" s="150"/>
      <c r="K26" s="151" t="s">
        <v>170</v>
      </c>
      <c r="L26" s="152" t="n">
        <v>0</v>
      </c>
      <c r="M26" s="152"/>
      <c r="N26" s="152"/>
      <c r="O26" s="150"/>
    </row>
    <row r="27" customFormat="false" ht="15" hidden="false" customHeight="false" outlineLevel="0" collapsed="false">
      <c r="A27" s="152" t="s">
        <v>272</v>
      </c>
      <c r="B27" s="152" t="n">
        <v>150</v>
      </c>
      <c r="C27" s="152" t="n">
        <f aca="false">+C26+B27</f>
        <v>611</v>
      </c>
      <c r="D27" s="154" t="s">
        <v>609</v>
      </c>
      <c r="E27" s="150"/>
      <c r="F27" s="149" t="s">
        <v>610</v>
      </c>
      <c r="G27" s="149"/>
      <c r="H27" s="149"/>
      <c r="I27" s="149"/>
      <c r="J27" s="150"/>
      <c r="K27" s="152" t="s">
        <v>603</v>
      </c>
      <c r="L27" s="152" t="n">
        <v>425</v>
      </c>
      <c r="M27" s="152" t="n">
        <v>425</v>
      </c>
      <c r="N27" s="152"/>
      <c r="O27" s="150"/>
    </row>
    <row r="28" customFormat="false" ht="15" hidden="false" customHeight="false" outlineLevel="0" collapsed="false">
      <c r="A28" s="152" t="s">
        <v>274</v>
      </c>
      <c r="B28" s="152" t="n">
        <v>91</v>
      </c>
      <c r="C28" s="152" t="n">
        <f aca="false">+C27+B28</f>
        <v>702</v>
      </c>
      <c r="D28" s="154" t="s">
        <v>598</v>
      </c>
      <c r="E28" s="150"/>
      <c r="F28" s="151" t="s">
        <v>250</v>
      </c>
      <c r="G28" s="152" t="n">
        <v>0</v>
      </c>
      <c r="H28" s="152"/>
      <c r="I28" s="152"/>
      <c r="J28" s="150"/>
      <c r="K28" s="152" t="s">
        <v>581</v>
      </c>
      <c r="L28" s="152" t="n">
        <v>470</v>
      </c>
      <c r="M28" s="152" t="n">
        <f aca="false">+M27+L28</f>
        <v>895</v>
      </c>
      <c r="N28" s="152"/>
      <c r="O28" s="150"/>
    </row>
    <row r="29" customFormat="false" ht="15" hidden="false" customHeight="false" outlineLevel="0" collapsed="false">
      <c r="A29" s="155" t="s">
        <v>592</v>
      </c>
      <c r="B29" s="152" t="n">
        <v>243</v>
      </c>
      <c r="C29" s="152" t="n">
        <f aca="false">+C28+B29</f>
        <v>945</v>
      </c>
      <c r="D29" s="152" t="n">
        <v>5</v>
      </c>
      <c r="E29" s="150"/>
      <c r="F29" s="152" t="s">
        <v>244</v>
      </c>
      <c r="G29" s="152" t="n">
        <v>235</v>
      </c>
      <c r="H29" s="152" t="n">
        <v>235</v>
      </c>
      <c r="I29" s="152" t="n">
        <v>5</v>
      </c>
      <c r="J29" s="150"/>
      <c r="K29" s="155" t="s">
        <v>574</v>
      </c>
      <c r="L29" s="152" t="n">
        <v>257</v>
      </c>
      <c r="M29" s="152" t="n">
        <f aca="false">+M28+L29</f>
        <v>1152</v>
      </c>
      <c r="N29" s="152"/>
      <c r="O29" s="150"/>
    </row>
    <row r="30" customFormat="false" ht="15" hidden="false" customHeight="false" outlineLevel="0" collapsed="false">
      <c r="A30" s="150"/>
      <c r="B30" s="150"/>
      <c r="C30" s="150"/>
      <c r="D30" s="150"/>
      <c r="E30" s="150"/>
      <c r="F30" s="155" t="s">
        <v>260</v>
      </c>
      <c r="G30" s="152" t="n">
        <v>63</v>
      </c>
      <c r="H30" s="152" t="n">
        <f aca="false">+H29+G30</f>
        <v>298</v>
      </c>
      <c r="I30" s="154" t="s">
        <v>598</v>
      </c>
      <c r="J30" s="150"/>
      <c r="K30" s="150"/>
      <c r="L30" s="150"/>
      <c r="M30" s="150"/>
      <c r="N30" s="150"/>
      <c r="O30" s="150"/>
    </row>
    <row r="31" customFormat="false" ht="15" hidden="false" customHeight="false" outlineLevel="0" collapsed="false">
      <c r="A31" s="149" t="s">
        <v>611</v>
      </c>
      <c r="B31" s="149"/>
      <c r="C31" s="149"/>
      <c r="D31" s="149"/>
      <c r="E31" s="150"/>
      <c r="F31" s="149" t="s">
        <v>612</v>
      </c>
      <c r="G31" s="149"/>
      <c r="H31" s="149"/>
      <c r="I31" s="149"/>
      <c r="J31" s="150"/>
      <c r="K31" s="149" t="s">
        <v>613</v>
      </c>
      <c r="L31" s="149"/>
      <c r="M31" s="149"/>
      <c r="N31" s="149"/>
      <c r="O31" s="150"/>
    </row>
    <row r="32" customFormat="false" ht="15" hidden="false" customHeight="false" outlineLevel="0" collapsed="false">
      <c r="A32" s="151" t="s">
        <v>592</v>
      </c>
      <c r="B32" s="152" t="n">
        <v>0</v>
      </c>
      <c r="C32" s="152"/>
      <c r="D32" s="161" t="s">
        <v>570</v>
      </c>
      <c r="E32" s="150"/>
      <c r="F32" s="151" t="s">
        <v>170</v>
      </c>
      <c r="G32" s="152" t="n">
        <v>0</v>
      </c>
      <c r="H32" s="152"/>
      <c r="I32" s="161" t="s">
        <v>570</v>
      </c>
      <c r="J32" s="150"/>
      <c r="K32" s="151" t="s">
        <v>606</v>
      </c>
      <c r="L32" s="152" t="n">
        <v>0</v>
      </c>
      <c r="M32" s="152"/>
      <c r="N32" s="161" t="s">
        <v>570</v>
      </c>
      <c r="O32" s="150"/>
    </row>
    <row r="33" customFormat="false" ht="15" hidden="false" customHeight="false" outlineLevel="0" collapsed="false">
      <c r="A33" s="152" t="s">
        <v>614</v>
      </c>
      <c r="B33" s="152" t="n">
        <v>70</v>
      </c>
      <c r="C33" s="152" t="n">
        <v>70</v>
      </c>
      <c r="D33" s="152"/>
      <c r="E33" s="150"/>
      <c r="F33" s="152" t="s">
        <v>615</v>
      </c>
      <c r="G33" s="152" t="n">
        <v>45</v>
      </c>
      <c r="H33" s="152" t="n">
        <v>45</v>
      </c>
      <c r="I33" s="154" t="s">
        <v>616</v>
      </c>
      <c r="J33" s="150"/>
      <c r="K33" s="152" t="s">
        <v>603</v>
      </c>
      <c r="L33" s="152" t="n">
        <v>153</v>
      </c>
      <c r="M33" s="152" t="n">
        <v>153</v>
      </c>
      <c r="N33" s="152"/>
      <c r="O33" s="150"/>
    </row>
    <row r="34" customFormat="false" ht="15" hidden="false" customHeight="false" outlineLevel="0" collapsed="false">
      <c r="A34" s="152" t="s">
        <v>308</v>
      </c>
      <c r="B34" s="152" t="n">
        <v>178</v>
      </c>
      <c r="C34" s="152" t="n">
        <f aca="false">+C33+B34</f>
        <v>248</v>
      </c>
      <c r="D34" s="152"/>
      <c r="E34" s="150"/>
      <c r="F34" s="152" t="s">
        <v>617</v>
      </c>
      <c r="G34" s="152" t="n">
        <v>53</v>
      </c>
      <c r="H34" s="152" t="n">
        <f aca="false">+H33+G34</f>
        <v>98</v>
      </c>
      <c r="I34" s="154" t="n">
        <v>1</v>
      </c>
      <c r="J34" s="150"/>
      <c r="K34" s="152" t="s">
        <v>618</v>
      </c>
      <c r="L34" s="152" t="n">
        <v>84</v>
      </c>
      <c r="M34" s="152" t="n">
        <v>237</v>
      </c>
      <c r="N34" s="152"/>
      <c r="O34" s="150"/>
    </row>
    <row r="35" customFormat="false" ht="15" hidden="false" customHeight="false" outlineLevel="0" collapsed="false">
      <c r="A35" s="152" t="s">
        <v>317</v>
      </c>
      <c r="B35" s="152" t="n">
        <v>138</v>
      </c>
      <c r="C35" s="152" t="n">
        <f aca="false">+C34+B35</f>
        <v>386</v>
      </c>
      <c r="D35" s="152"/>
      <c r="E35" s="150"/>
      <c r="F35" s="152" t="s">
        <v>619</v>
      </c>
      <c r="G35" s="152" t="n">
        <v>29</v>
      </c>
      <c r="H35" s="152" t="n">
        <f aca="false">+H34+G35</f>
        <v>127</v>
      </c>
      <c r="I35" s="154" t="s">
        <v>577</v>
      </c>
      <c r="J35" s="150"/>
      <c r="K35" s="152" t="s">
        <v>620</v>
      </c>
      <c r="L35" s="152" t="n">
        <v>82</v>
      </c>
      <c r="M35" s="152" t="n">
        <v>319</v>
      </c>
      <c r="N35" s="152"/>
      <c r="O35" s="150"/>
    </row>
    <row r="36" customFormat="false" ht="15" hidden="false" customHeight="false" outlineLevel="0" collapsed="false">
      <c r="A36" s="152" t="s">
        <v>319</v>
      </c>
      <c r="B36" s="152" t="n">
        <v>152</v>
      </c>
      <c r="C36" s="152" t="n">
        <f aca="false">+C35+B36</f>
        <v>538</v>
      </c>
      <c r="D36" s="152"/>
      <c r="E36" s="150"/>
      <c r="F36" s="155" t="s">
        <v>216</v>
      </c>
      <c r="G36" s="152" t="n">
        <v>12</v>
      </c>
      <c r="H36" s="152" t="n">
        <f aca="false">+H35+G36</f>
        <v>139</v>
      </c>
      <c r="I36" s="152" t="n">
        <v>25</v>
      </c>
      <c r="J36" s="150"/>
      <c r="K36" s="152" t="s">
        <v>621</v>
      </c>
      <c r="L36" s="152" t="n">
        <v>133</v>
      </c>
      <c r="M36" s="152" t="n">
        <v>452</v>
      </c>
      <c r="N36" s="152"/>
      <c r="O36" s="150"/>
    </row>
    <row r="37" customFormat="false" ht="15" hidden="false" customHeight="false" outlineLevel="0" collapsed="false">
      <c r="A37" s="152" t="s">
        <v>622</v>
      </c>
      <c r="B37" s="152" t="n">
        <v>90</v>
      </c>
      <c r="C37" s="152" t="n">
        <f aca="false">+C36+B37</f>
        <v>628</v>
      </c>
      <c r="D37" s="152"/>
      <c r="E37" s="150"/>
      <c r="F37" s="151" t="s">
        <v>619</v>
      </c>
      <c r="G37" s="152" t="n">
        <v>0</v>
      </c>
      <c r="H37" s="152"/>
      <c r="I37" s="152"/>
      <c r="J37" s="150"/>
      <c r="K37" s="152" t="s">
        <v>581</v>
      </c>
      <c r="L37" s="152" t="n">
        <v>217</v>
      </c>
      <c r="M37" s="152" t="n">
        <v>669</v>
      </c>
      <c r="N37" s="152"/>
      <c r="O37" s="150"/>
    </row>
    <row r="38" customFormat="false" ht="15" hidden="false" customHeight="false" outlineLevel="0" collapsed="false">
      <c r="A38" s="152" t="s">
        <v>623</v>
      </c>
      <c r="B38" s="152" t="n">
        <v>97</v>
      </c>
      <c r="C38" s="152" t="n">
        <f aca="false">+C37+B38</f>
        <v>725</v>
      </c>
      <c r="D38" s="152"/>
      <c r="E38" s="150"/>
      <c r="F38" s="155" t="s">
        <v>624</v>
      </c>
      <c r="G38" s="152" t="n">
        <v>94</v>
      </c>
      <c r="H38" s="152" t="n">
        <v>94</v>
      </c>
      <c r="I38" s="152" t="n">
        <v>2</v>
      </c>
      <c r="J38" s="150"/>
      <c r="K38" s="155" t="s">
        <v>574</v>
      </c>
      <c r="L38" s="152" t="n">
        <v>257</v>
      </c>
      <c r="M38" s="152" t="n">
        <v>926</v>
      </c>
      <c r="N38" s="152"/>
      <c r="O38" s="150"/>
    </row>
    <row r="39" customFormat="false" ht="15" hidden="false" customHeight="false" outlineLevel="0" collapsed="false">
      <c r="A39" s="152" t="s">
        <v>625</v>
      </c>
      <c r="B39" s="152" t="n">
        <v>35</v>
      </c>
      <c r="C39" s="152" t="n">
        <f aca="false">+C38+B39</f>
        <v>760</v>
      </c>
      <c r="D39" s="152"/>
      <c r="E39" s="150"/>
      <c r="F39" s="150"/>
      <c r="G39" s="150"/>
      <c r="H39" s="150"/>
      <c r="I39" s="150"/>
      <c r="J39" s="150"/>
      <c r="K39" s="150"/>
      <c r="L39" s="150"/>
      <c r="M39" s="150"/>
      <c r="N39" s="150"/>
      <c r="O39" s="150"/>
    </row>
    <row r="40" customFormat="false" ht="15" hidden="false" customHeight="false" outlineLevel="0" collapsed="false">
      <c r="A40" s="152" t="s">
        <v>626</v>
      </c>
      <c r="B40" s="152" t="n">
        <v>14</v>
      </c>
      <c r="C40" s="152" t="n">
        <f aca="false">+C39+B40</f>
        <v>774</v>
      </c>
      <c r="D40" s="152"/>
      <c r="E40" s="150"/>
      <c r="F40" s="150"/>
      <c r="G40" s="150"/>
      <c r="H40" s="150"/>
      <c r="I40" s="150"/>
      <c r="J40" s="150"/>
      <c r="K40" s="150"/>
      <c r="L40" s="150"/>
      <c r="M40" s="150"/>
      <c r="N40" s="150"/>
      <c r="O40" s="150"/>
    </row>
    <row r="41" customFormat="false" ht="15" hidden="false" customHeight="false" outlineLevel="0" collapsed="false">
      <c r="A41" s="155" t="s">
        <v>627</v>
      </c>
      <c r="B41" s="152" t="n">
        <v>89</v>
      </c>
      <c r="C41" s="152" t="n">
        <f aca="false">+C40+B41</f>
        <v>863</v>
      </c>
      <c r="D41" s="152"/>
      <c r="E41" s="150"/>
      <c r="F41" s="150"/>
      <c r="G41" s="150"/>
      <c r="H41" s="150"/>
      <c r="I41" s="150"/>
      <c r="J41" s="150"/>
      <c r="K41" s="150"/>
      <c r="L41" s="150"/>
      <c r="M41" s="150"/>
      <c r="N41" s="150"/>
      <c r="O41" s="150"/>
    </row>
    <row r="42" customFormat="false" ht="15" hidden="false" customHeight="false" outlineLevel="0" collapsed="false">
      <c r="A42" s="150"/>
      <c r="B42" s="150"/>
      <c r="C42" s="150"/>
      <c r="D42" s="150"/>
      <c r="E42" s="150"/>
      <c r="F42" s="150"/>
      <c r="G42" s="150"/>
      <c r="H42" s="150"/>
      <c r="I42" s="150"/>
      <c r="J42" s="150"/>
      <c r="K42" s="150"/>
      <c r="L42" s="150"/>
      <c r="M42" s="150"/>
      <c r="N42" s="150"/>
      <c r="O42" s="150"/>
    </row>
    <row r="43" customFormat="false" ht="15" hidden="false" customHeight="false" outlineLevel="0" collapsed="false">
      <c r="A43" s="149" t="s">
        <v>628</v>
      </c>
      <c r="B43" s="149"/>
      <c r="C43" s="149"/>
      <c r="D43" s="149"/>
      <c r="E43" s="150"/>
      <c r="F43" s="149" t="s">
        <v>628</v>
      </c>
      <c r="G43" s="149"/>
      <c r="H43" s="149"/>
      <c r="I43" s="149"/>
      <c r="J43" s="150"/>
      <c r="K43" s="150"/>
      <c r="L43" s="150"/>
      <c r="M43" s="150"/>
      <c r="N43" s="150"/>
      <c r="O43" s="150"/>
    </row>
    <row r="44" customFormat="false" ht="15" hidden="false" customHeight="false" outlineLevel="0" collapsed="false">
      <c r="A44" s="151" t="s">
        <v>592</v>
      </c>
      <c r="B44" s="152" t="n">
        <v>0</v>
      </c>
      <c r="C44" s="152"/>
      <c r="D44" s="157"/>
      <c r="E44" s="150"/>
      <c r="F44" s="151" t="s">
        <v>592</v>
      </c>
      <c r="G44" s="152" t="n">
        <v>0</v>
      </c>
      <c r="H44" s="152"/>
      <c r="I44" s="157"/>
      <c r="J44" s="150"/>
      <c r="K44" s="150"/>
      <c r="L44" s="150"/>
      <c r="M44" s="150"/>
      <c r="N44" s="150"/>
      <c r="O44" s="150"/>
    </row>
    <row r="45" customFormat="false" ht="15" hidden="false" customHeight="false" outlineLevel="0" collapsed="false">
      <c r="A45" s="152" t="s">
        <v>614</v>
      </c>
      <c r="B45" s="152" t="n">
        <v>70</v>
      </c>
      <c r="C45" s="152" t="n">
        <v>70</v>
      </c>
      <c r="D45" s="152"/>
      <c r="E45" s="150"/>
      <c r="F45" s="152" t="s">
        <v>614</v>
      </c>
      <c r="G45" s="152" t="n">
        <v>70</v>
      </c>
      <c r="H45" s="152" t="n">
        <v>70</v>
      </c>
      <c r="I45" s="152"/>
      <c r="J45" s="150"/>
      <c r="K45" s="150"/>
      <c r="L45" s="150"/>
      <c r="M45" s="150"/>
      <c r="N45" s="150"/>
      <c r="O45" s="150"/>
    </row>
    <row r="46" customFormat="false" ht="15" hidden="false" customHeight="false" outlineLevel="0" collapsed="false">
      <c r="A46" s="152" t="s">
        <v>629</v>
      </c>
      <c r="B46" s="152" t="n">
        <v>234</v>
      </c>
      <c r="C46" s="152" t="n">
        <f aca="false">+C45+B46</f>
        <v>304</v>
      </c>
      <c r="D46" s="152"/>
      <c r="E46" s="150"/>
      <c r="F46" s="152" t="s">
        <v>629</v>
      </c>
      <c r="G46" s="152" t="n">
        <v>234</v>
      </c>
      <c r="H46" s="152" t="n">
        <f aca="false">+H45+G46</f>
        <v>304</v>
      </c>
      <c r="I46" s="152"/>
      <c r="J46" s="150"/>
      <c r="K46" s="150"/>
      <c r="L46" s="150"/>
      <c r="M46" s="150"/>
      <c r="N46" s="150"/>
      <c r="O46" s="150"/>
    </row>
    <row r="47" customFormat="false" ht="15" hidden="false" customHeight="false" outlineLevel="0" collapsed="false">
      <c r="A47" s="152" t="s">
        <v>630</v>
      </c>
      <c r="B47" s="152" t="n">
        <v>205</v>
      </c>
      <c r="C47" s="152" t="n">
        <f aca="false">+C46+B47</f>
        <v>509</v>
      </c>
      <c r="D47" s="152"/>
      <c r="E47" s="150"/>
      <c r="F47" s="152" t="s">
        <v>631</v>
      </c>
      <c r="G47" s="152" t="n">
        <v>152</v>
      </c>
      <c r="H47" s="152" t="n">
        <f aca="false">+H46+G47</f>
        <v>456</v>
      </c>
      <c r="I47" s="152"/>
      <c r="J47" s="150"/>
      <c r="K47" s="150"/>
      <c r="L47" s="150"/>
      <c r="M47" s="150"/>
      <c r="N47" s="150"/>
      <c r="O47" s="150"/>
    </row>
    <row r="48" customFormat="false" ht="15" hidden="false" customHeight="false" outlineLevel="0" collapsed="false">
      <c r="A48" s="152" t="s">
        <v>319</v>
      </c>
      <c r="B48" s="152" t="n">
        <v>92</v>
      </c>
      <c r="C48" s="152" t="n">
        <f aca="false">+C47+B48</f>
        <v>601</v>
      </c>
      <c r="D48" s="152"/>
      <c r="E48" s="150"/>
      <c r="F48" s="152" t="s">
        <v>319</v>
      </c>
      <c r="G48" s="152" t="n">
        <v>50</v>
      </c>
      <c r="H48" s="152" t="n">
        <f aca="false">+H47+G48</f>
        <v>506</v>
      </c>
      <c r="I48" s="152"/>
      <c r="J48" s="150"/>
      <c r="K48" s="150"/>
      <c r="L48" s="150"/>
      <c r="M48" s="150"/>
      <c r="N48" s="150"/>
      <c r="O48" s="150"/>
    </row>
    <row r="49" customFormat="false" ht="15" hidden="false" customHeight="false" outlineLevel="0" collapsed="false">
      <c r="A49" s="152" t="s">
        <v>622</v>
      </c>
      <c r="B49" s="152" t="n">
        <v>70</v>
      </c>
      <c r="C49" s="152" t="n">
        <f aca="false">+C48+B49</f>
        <v>671</v>
      </c>
      <c r="D49" s="152"/>
      <c r="E49" s="150"/>
      <c r="F49" s="152" t="s">
        <v>632</v>
      </c>
      <c r="G49" s="152" t="n">
        <v>30</v>
      </c>
      <c r="H49" s="152" t="n">
        <f aca="false">+H48+G49</f>
        <v>536</v>
      </c>
      <c r="I49" s="152"/>
      <c r="J49" s="150"/>
      <c r="K49" s="150"/>
      <c r="L49" s="150"/>
      <c r="M49" s="150"/>
      <c r="N49" s="150"/>
      <c r="O49" s="150"/>
    </row>
    <row r="50" customFormat="false" ht="15" hidden="false" customHeight="false" outlineLevel="0" collapsed="false">
      <c r="A50" s="152" t="s">
        <v>623</v>
      </c>
      <c r="B50" s="152" t="n">
        <v>97</v>
      </c>
      <c r="C50" s="152" t="n">
        <f aca="false">+C49+B50</f>
        <v>768</v>
      </c>
      <c r="D50" s="152"/>
      <c r="E50" s="150"/>
      <c r="F50" s="152" t="s">
        <v>622</v>
      </c>
      <c r="G50" s="152" t="n">
        <v>40</v>
      </c>
      <c r="H50" s="152" t="n">
        <f aca="false">+H49+G50</f>
        <v>576</v>
      </c>
      <c r="I50" s="152"/>
      <c r="J50" s="150"/>
      <c r="K50" s="150"/>
      <c r="L50" s="150"/>
      <c r="M50" s="150"/>
      <c r="N50" s="150"/>
      <c r="O50" s="150"/>
    </row>
    <row r="51" customFormat="false" ht="15" hidden="false" customHeight="false" outlineLevel="0" collapsed="false">
      <c r="A51" s="152" t="s">
        <v>625</v>
      </c>
      <c r="B51" s="152" t="n">
        <v>35</v>
      </c>
      <c r="C51" s="152" t="n">
        <f aca="false">+C50+B51</f>
        <v>803</v>
      </c>
      <c r="D51" s="152"/>
      <c r="E51" s="150"/>
      <c r="F51" s="152" t="s">
        <v>623</v>
      </c>
      <c r="G51" s="152" t="n">
        <v>97</v>
      </c>
      <c r="H51" s="152" t="n">
        <f aca="false">+H50+G51</f>
        <v>673</v>
      </c>
      <c r="I51" s="152"/>
      <c r="J51" s="150"/>
      <c r="K51" s="150"/>
      <c r="L51" s="150"/>
      <c r="M51" s="150"/>
      <c r="N51" s="150"/>
      <c r="O51" s="150"/>
    </row>
    <row r="52" customFormat="false" ht="15" hidden="false" customHeight="false" outlineLevel="0" collapsed="false">
      <c r="A52" s="152" t="s">
        <v>626</v>
      </c>
      <c r="B52" s="152" t="n">
        <v>14</v>
      </c>
      <c r="C52" s="152" t="n">
        <f aca="false">+C51+B52</f>
        <v>817</v>
      </c>
      <c r="D52" s="152"/>
      <c r="E52" s="150"/>
      <c r="F52" s="152" t="s">
        <v>625</v>
      </c>
      <c r="G52" s="152" t="n">
        <v>35</v>
      </c>
      <c r="H52" s="152" t="n">
        <f aca="false">+H51+G52</f>
        <v>708</v>
      </c>
      <c r="I52" s="152"/>
      <c r="J52" s="150"/>
      <c r="K52" s="150"/>
      <c r="L52" s="150"/>
      <c r="M52" s="150"/>
      <c r="N52" s="150"/>
      <c r="O52" s="150"/>
    </row>
    <row r="53" customFormat="false" ht="15" hidden="false" customHeight="false" outlineLevel="0" collapsed="false">
      <c r="A53" s="155" t="s">
        <v>627</v>
      </c>
      <c r="B53" s="152" t="n">
        <v>89</v>
      </c>
      <c r="C53" s="152" t="n">
        <f aca="false">+C52+B53</f>
        <v>906</v>
      </c>
      <c r="D53" s="152"/>
      <c r="E53" s="150"/>
      <c r="F53" s="152" t="s">
        <v>626</v>
      </c>
      <c r="G53" s="152" t="n">
        <v>14</v>
      </c>
      <c r="H53" s="152" t="n">
        <f aca="false">+H52+G53</f>
        <v>722</v>
      </c>
      <c r="I53" s="152"/>
      <c r="J53" s="150"/>
      <c r="K53" s="150"/>
      <c r="L53" s="150"/>
      <c r="M53" s="150"/>
      <c r="N53" s="150"/>
      <c r="O53" s="150"/>
    </row>
    <row r="54" customFormat="false" ht="15" hidden="false" customHeight="false" outlineLevel="0" collapsed="false">
      <c r="A54" s="150"/>
      <c r="B54" s="150"/>
      <c r="C54" s="150"/>
      <c r="D54" s="150"/>
      <c r="E54" s="150"/>
      <c r="F54" s="155" t="s">
        <v>627</v>
      </c>
      <c r="G54" s="152" t="n">
        <v>89</v>
      </c>
      <c r="H54" s="152" t="n">
        <f aca="false">+H53+G54</f>
        <v>811</v>
      </c>
      <c r="I54" s="152"/>
      <c r="J54" s="150"/>
      <c r="K54" s="150"/>
      <c r="L54" s="150"/>
      <c r="M54" s="150"/>
      <c r="N54" s="150"/>
      <c r="O54" s="150"/>
    </row>
    <row r="55" customFormat="false" ht="15" hidden="false" customHeight="false" outlineLevel="0" collapsed="false">
      <c r="A55" s="151" t="s">
        <v>633</v>
      </c>
      <c r="B55" s="152" t="n">
        <v>0</v>
      </c>
      <c r="C55" s="150"/>
      <c r="D55" s="150"/>
      <c r="E55" s="150"/>
      <c r="F55" s="150"/>
      <c r="G55" s="150"/>
      <c r="H55" s="150"/>
      <c r="I55" s="150"/>
      <c r="J55" s="150"/>
      <c r="K55" s="150"/>
      <c r="L55" s="150"/>
      <c r="M55" s="150"/>
      <c r="N55" s="150"/>
      <c r="O55" s="150"/>
    </row>
    <row r="56" customFormat="false" ht="15" hidden="false" customHeight="false" outlineLevel="0" collapsed="false">
      <c r="A56" s="155" t="s">
        <v>634</v>
      </c>
      <c r="B56" s="152" t="n">
        <v>50</v>
      </c>
      <c r="C56" s="150"/>
      <c r="D56" s="150"/>
      <c r="E56" s="150"/>
      <c r="F56" s="150"/>
      <c r="G56" s="150"/>
      <c r="H56" s="150"/>
      <c r="I56" s="150"/>
      <c r="J56" s="150"/>
      <c r="K56" s="150"/>
      <c r="L56" s="150"/>
      <c r="M56" s="150"/>
      <c r="N56" s="150"/>
      <c r="O56" s="150"/>
    </row>
    <row r="57" customFormat="false" ht="15" hidden="false" customHeight="false" outlineLevel="0" collapsed="false">
      <c r="A57" s="151" t="s">
        <v>630</v>
      </c>
      <c r="B57" s="152" t="n">
        <v>0</v>
      </c>
      <c r="C57" s="150"/>
      <c r="D57" s="150"/>
      <c r="E57" s="150"/>
      <c r="F57" s="150"/>
      <c r="G57" s="150"/>
      <c r="H57" s="150"/>
      <c r="I57" s="150"/>
      <c r="J57" s="150"/>
      <c r="K57" s="150"/>
      <c r="L57" s="150"/>
      <c r="M57" s="150"/>
      <c r="N57" s="150"/>
      <c r="O57" s="150"/>
    </row>
    <row r="58" customFormat="false" ht="15" hidden="false" customHeight="false" outlineLevel="0" collapsed="false">
      <c r="A58" s="155" t="s">
        <v>635</v>
      </c>
      <c r="B58" s="152" t="n">
        <v>52</v>
      </c>
      <c r="C58" s="150"/>
      <c r="D58" s="150"/>
      <c r="E58" s="150"/>
      <c r="F58" s="150"/>
      <c r="G58" s="150"/>
      <c r="H58" s="150"/>
      <c r="I58" s="150"/>
      <c r="J58" s="150"/>
      <c r="K58" s="150"/>
      <c r="L58" s="150"/>
      <c r="M58" s="150"/>
      <c r="N58" s="150"/>
      <c r="O58" s="150"/>
    </row>
    <row r="59" customFormat="false" ht="15" hidden="false" customHeight="false" outlineLevel="0" collapsed="false">
      <c r="A59" s="150"/>
      <c r="B59" s="150"/>
      <c r="C59" s="150"/>
      <c r="D59" s="150"/>
      <c r="E59" s="150"/>
      <c r="F59" s="150"/>
      <c r="G59" s="150"/>
      <c r="H59" s="150"/>
      <c r="I59" s="150"/>
      <c r="J59" s="150"/>
      <c r="K59" s="150"/>
      <c r="L59" s="150"/>
      <c r="M59" s="150"/>
      <c r="N59" s="150"/>
      <c r="O59" s="150"/>
    </row>
    <row r="60" customFormat="false" ht="15" hidden="false" customHeight="false" outlineLevel="0" collapsed="false">
      <c r="A60" s="150"/>
      <c r="B60" s="150"/>
      <c r="C60" s="150"/>
      <c r="D60" s="150"/>
      <c r="E60" s="150"/>
      <c r="F60" s="150"/>
      <c r="G60" s="150"/>
      <c r="H60" s="150"/>
      <c r="I60" s="150"/>
      <c r="J60" s="150"/>
      <c r="K60" s="150"/>
      <c r="L60" s="150"/>
      <c r="M60" s="150"/>
      <c r="N60" s="150"/>
      <c r="O60" s="150"/>
    </row>
    <row r="61" customFormat="false" ht="15" hidden="false" customHeight="false" outlineLevel="0" collapsed="false">
      <c r="A61" s="150"/>
      <c r="B61" s="150"/>
      <c r="C61" s="150"/>
      <c r="D61" s="150"/>
      <c r="E61" s="150"/>
      <c r="F61" s="150"/>
      <c r="G61" s="150"/>
      <c r="H61" s="150"/>
      <c r="I61" s="150"/>
      <c r="J61" s="150"/>
      <c r="K61" s="150"/>
      <c r="L61" s="150"/>
      <c r="M61" s="150"/>
      <c r="N61" s="150"/>
      <c r="O61" s="150"/>
    </row>
    <row r="62" customFormat="false" ht="15" hidden="false" customHeight="false" outlineLevel="0" collapsed="false">
      <c r="A62" s="150"/>
      <c r="B62" s="150"/>
      <c r="C62" s="150"/>
      <c r="D62" s="150"/>
      <c r="E62" s="150"/>
      <c r="F62" s="150"/>
      <c r="G62" s="150"/>
      <c r="H62" s="150"/>
      <c r="I62" s="150"/>
      <c r="J62" s="150"/>
      <c r="K62" s="150"/>
      <c r="L62" s="150"/>
      <c r="M62" s="150"/>
      <c r="N62" s="150"/>
      <c r="O62" s="150"/>
    </row>
  </sheetData>
  <mergeCells count="12">
    <mergeCell ref="A2:D2"/>
    <mergeCell ref="F2:I2"/>
    <mergeCell ref="K2:N2"/>
    <mergeCell ref="A17:D17"/>
    <mergeCell ref="F17:I17"/>
    <mergeCell ref="K17:N17"/>
    <mergeCell ref="F27:I27"/>
    <mergeCell ref="A31:D31"/>
    <mergeCell ref="F31:I31"/>
    <mergeCell ref="K31:N31"/>
    <mergeCell ref="A43:D43"/>
    <mergeCell ref="F43:I4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23" activeCellId="0" sqref="M23"/>
    </sheetView>
  </sheetViews>
  <sheetFormatPr defaultColWidth="10.59765625" defaultRowHeight="15" zeroHeight="false" outlineLevelRow="0" outlineLevelCol="0"/>
  <cols>
    <col collapsed="false" customWidth="true" hidden="false" outlineLevel="0" max="5" min="5" style="0" width="1"/>
    <col collapsed="false" customWidth="true" hidden="false" outlineLevel="0" max="10" min="10" style="0" width="1.43"/>
    <col collapsed="false" customWidth="true" hidden="false" outlineLevel="0" max="13" min="11" style="0" width="15.72"/>
  </cols>
  <sheetData>
    <row r="1" customFormat="false" ht="15" hidden="false" customHeight="false" outlineLevel="0" collapsed="false">
      <c r="A1" s="53" t="s">
        <v>77</v>
      </c>
      <c r="B1" s="53"/>
      <c r="C1" s="53"/>
      <c r="D1" s="53"/>
      <c r="E1" s="53"/>
      <c r="F1" s="53"/>
      <c r="G1" s="53"/>
      <c r="H1" s="53"/>
      <c r="I1" s="53"/>
      <c r="J1" s="53"/>
      <c r="K1" s="53"/>
      <c r="L1" s="53"/>
      <c r="M1" s="53"/>
      <c r="N1" s="53"/>
      <c r="O1" s="53"/>
      <c r="P1" s="53"/>
      <c r="Q1" s="53"/>
      <c r="R1" s="53"/>
      <c r="S1" s="53"/>
      <c r="T1" s="53"/>
      <c r="U1" s="53"/>
      <c r="V1" s="53"/>
      <c r="W1" s="53"/>
      <c r="X1" s="53"/>
      <c r="Y1" s="53"/>
      <c r="Z1" s="53"/>
      <c r="AA1" s="53"/>
    </row>
    <row r="2" customFormat="false" ht="15" hidden="false" customHeight="false" outlineLevel="0" collapsed="false">
      <c r="A2" s="53"/>
      <c r="B2" s="53"/>
      <c r="C2" s="53"/>
      <c r="D2" s="53"/>
      <c r="E2" s="53"/>
      <c r="F2" s="53"/>
      <c r="G2" s="164"/>
      <c r="H2" s="164"/>
      <c r="I2" s="164"/>
      <c r="J2" s="164"/>
      <c r="K2" s="164"/>
      <c r="L2" s="164"/>
      <c r="M2" s="164"/>
      <c r="N2" s="164"/>
      <c r="O2" s="164"/>
      <c r="P2" s="164"/>
      <c r="Q2" s="53"/>
      <c r="R2" s="53"/>
      <c r="S2" s="53"/>
      <c r="T2" s="53"/>
      <c r="U2" s="53"/>
      <c r="V2" s="53"/>
      <c r="W2" s="53"/>
      <c r="X2" s="53"/>
      <c r="Y2" s="53"/>
      <c r="Z2" s="53"/>
      <c r="AA2" s="53"/>
    </row>
    <row r="3" customFormat="false" ht="15" hidden="false" customHeight="false" outlineLevel="0" collapsed="false">
      <c r="A3" s="165" t="s">
        <v>636</v>
      </c>
      <c r="B3" s="165"/>
      <c r="C3" s="165"/>
      <c r="D3" s="165"/>
      <c r="E3" s="165"/>
      <c r="F3" s="166"/>
      <c r="G3" s="167" t="s">
        <v>637</v>
      </c>
      <c r="H3" s="167"/>
      <c r="I3" s="167"/>
      <c r="J3" s="168"/>
      <c r="K3" s="167" t="s">
        <v>638</v>
      </c>
      <c r="L3" s="167" t="s">
        <v>639</v>
      </c>
      <c r="M3" s="167" t="s">
        <v>640</v>
      </c>
      <c r="N3" s="169" t="s">
        <v>641</v>
      </c>
      <c r="O3" s="169" t="s">
        <v>642</v>
      </c>
      <c r="P3" s="170" t="s">
        <v>643</v>
      </c>
      <c r="Q3" s="53"/>
      <c r="R3" s="53"/>
      <c r="S3" s="53"/>
      <c r="T3" s="53"/>
      <c r="U3" s="53"/>
      <c r="V3" s="53"/>
      <c r="W3" s="53"/>
      <c r="X3" s="53"/>
      <c r="Y3" s="53"/>
      <c r="Z3" s="53"/>
      <c r="AA3" s="53"/>
    </row>
    <row r="4" customFormat="false" ht="3.75" hidden="false" customHeight="true" outlineLevel="0" collapsed="false">
      <c r="A4" s="171"/>
      <c r="B4" s="171"/>
      <c r="C4" s="171"/>
      <c r="D4" s="171"/>
      <c r="E4" s="172"/>
      <c r="F4" s="166"/>
      <c r="G4" s="167"/>
      <c r="H4" s="167"/>
      <c r="I4" s="167"/>
      <c r="J4" s="168"/>
      <c r="K4" s="167"/>
      <c r="L4" s="167"/>
      <c r="M4" s="167"/>
      <c r="N4" s="167"/>
      <c r="O4" s="167"/>
      <c r="P4" s="170"/>
      <c r="Q4" s="53"/>
      <c r="R4" s="53"/>
      <c r="S4" s="53"/>
      <c r="T4" s="53"/>
      <c r="U4" s="53"/>
      <c r="V4" s="53"/>
      <c r="W4" s="53"/>
      <c r="X4" s="53"/>
      <c r="Y4" s="53"/>
      <c r="Z4" s="53"/>
      <c r="AA4" s="53"/>
    </row>
    <row r="5" customFormat="false" ht="15" hidden="false" customHeight="false" outlineLevel="0" collapsed="false">
      <c r="A5" s="173" t="s">
        <v>644</v>
      </c>
      <c r="B5" s="173"/>
      <c r="C5" s="173"/>
      <c r="D5" s="174"/>
      <c r="E5" s="172"/>
      <c r="F5" s="166"/>
      <c r="G5" s="175" t="s">
        <v>645</v>
      </c>
      <c r="H5" s="175"/>
      <c r="I5" s="175"/>
      <c r="J5" s="53"/>
      <c r="K5" s="176"/>
      <c r="L5" s="172"/>
      <c r="M5" s="172"/>
      <c r="N5" s="172"/>
      <c r="O5" s="172"/>
      <c r="P5" s="177"/>
      <c r="Q5" s="53"/>
      <c r="R5" s="53"/>
      <c r="S5" s="53"/>
      <c r="T5" s="53"/>
      <c r="U5" s="53"/>
      <c r="V5" s="53"/>
      <c r="W5" s="53"/>
      <c r="X5" s="53"/>
      <c r="Y5" s="53"/>
      <c r="Z5" s="53"/>
      <c r="AA5" s="53"/>
    </row>
    <row r="6" customFormat="false" ht="15" hidden="false" customHeight="false" outlineLevel="0" collapsed="false">
      <c r="A6" s="173" t="s">
        <v>646</v>
      </c>
      <c r="B6" s="173"/>
      <c r="C6" s="173"/>
      <c r="D6" s="178"/>
      <c r="E6" s="172"/>
      <c r="F6" s="166"/>
      <c r="G6" s="175" t="s">
        <v>647</v>
      </c>
      <c r="H6" s="175"/>
      <c r="I6" s="175"/>
      <c r="J6" s="53"/>
      <c r="K6" s="176"/>
      <c r="L6" s="172"/>
      <c r="M6" s="172"/>
      <c r="N6" s="172"/>
      <c r="O6" s="172"/>
      <c r="P6" s="177"/>
      <c r="Q6" s="53"/>
      <c r="R6" s="53"/>
      <c r="S6" s="53"/>
      <c r="T6" s="53"/>
      <c r="U6" s="53"/>
      <c r="V6" s="53"/>
      <c r="W6" s="53"/>
      <c r="X6" s="53"/>
      <c r="Y6" s="53"/>
      <c r="Z6" s="53"/>
      <c r="AA6" s="53"/>
    </row>
    <row r="7" customFormat="false" ht="15" hidden="false" customHeight="false" outlineLevel="0" collapsed="false">
      <c r="A7" s="179" t="s">
        <v>648</v>
      </c>
      <c r="B7" s="179"/>
      <c r="C7" s="179"/>
      <c r="D7" s="179"/>
      <c r="E7" s="179"/>
      <c r="F7" s="166"/>
      <c r="G7" s="175" t="s">
        <v>649</v>
      </c>
      <c r="H7" s="175"/>
      <c r="I7" s="175"/>
      <c r="J7" s="53"/>
      <c r="K7" s="176"/>
      <c r="L7" s="172"/>
      <c r="M7" s="172"/>
      <c r="N7" s="172"/>
      <c r="O7" s="172"/>
      <c r="P7" s="177"/>
      <c r="Q7" s="53"/>
      <c r="R7" s="53"/>
      <c r="S7" s="53"/>
      <c r="T7" s="53"/>
      <c r="U7" s="53"/>
      <c r="V7" s="53"/>
      <c r="W7" s="53"/>
      <c r="X7" s="53"/>
      <c r="Y7" s="53"/>
      <c r="Z7" s="53"/>
      <c r="AA7" s="53"/>
    </row>
    <row r="8" customFormat="false" ht="15" hidden="false" customHeight="false" outlineLevel="0" collapsed="false">
      <c r="A8" s="173" t="s">
        <v>650</v>
      </c>
      <c r="B8" s="173"/>
      <c r="C8" s="173"/>
      <c r="D8" s="174"/>
      <c r="E8" s="172"/>
      <c r="F8" s="166"/>
      <c r="G8" s="180" t="s">
        <v>651</v>
      </c>
      <c r="H8" s="180"/>
      <c r="I8" s="180"/>
      <c r="J8" s="53"/>
      <c r="K8" s="176"/>
      <c r="L8" s="172"/>
      <c r="M8" s="172"/>
      <c r="N8" s="172"/>
      <c r="O8" s="172"/>
      <c r="P8" s="177"/>
      <c r="Q8" s="53"/>
      <c r="R8" s="53"/>
      <c r="S8" s="53"/>
      <c r="T8" s="53"/>
      <c r="U8" s="53"/>
      <c r="V8" s="53"/>
      <c r="W8" s="53"/>
      <c r="X8" s="53"/>
      <c r="Y8" s="53"/>
      <c r="Z8" s="53"/>
      <c r="AA8" s="53"/>
    </row>
    <row r="9" customFormat="false" ht="15" hidden="false" customHeight="false" outlineLevel="0" collapsed="false">
      <c r="A9" s="173" t="s">
        <v>652</v>
      </c>
      <c r="B9" s="173"/>
      <c r="C9" s="173"/>
      <c r="D9" s="174"/>
      <c r="E9" s="172"/>
      <c r="F9" s="166"/>
      <c r="G9" s="181" t="s">
        <v>653</v>
      </c>
      <c r="H9" s="181"/>
      <c r="I9" s="181"/>
      <c r="J9" s="182"/>
      <c r="K9" s="183"/>
      <c r="L9" s="184"/>
      <c r="M9" s="184"/>
      <c r="N9" s="184"/>
      <c r="O9" s="184"/>
      <c r="P9" s="185"/>
      <c r="Q9" s="53"/>
      <c r="R9" s="53"/>
      <c r="S9" s="53"/>
      <c r="T9" s="53"/>
      <c r="U9" s="53"/>
      <c r="V9" s="53"/>
      <c r="W9" s="53"/>
      <c r="X9" s="53"/>
      <c r="Y9" s="53"/>
      <c r="Z9" s="53"/>
      <c r="AA9" s="53"/>
    </row>
    <row r="10" customFormat="false" ht="15" hidden="false" customHeight="false" outlineLevel="0" collapsed="false">
      <c r="A10" s="173" t="s">
        <v>640</v>
      </c>
      <c r="B10" s="173"/>
      <c r="C10" s="173"/>
      <c r="D10" s="174"/>
      <c r="E10" s="172"/>
      <c r="F10" s="166"/>
      <c r="G10" s="186" t="s">
        <v>654</v>
      </c>
      <c r="H10" s="186"/>
      <c r="I10" s="186"/>
      <c r="J10" s="53"/>
      <c r="K10" s="187"/>
      <c r="L10" s="188"/>
      <c r="M10" s="188"/>
      <c r="N10" s="188"/>
      <c r="O10" s="188"/>
      <c r="P10" s="189"/>
      <c r="Q10" s="53"/>
      <c r="R10" s="53"/>
      <c r="S10" s="53"/>
      <c r="T10" s="53"/>
      <c r="U10" s="53"/>
      <c r="V10" s="53"/>
      <c r="W10" s="53"/>
      <c r="X10" s="53"/>
      <c r="Y10" s="53"/>
      <c r="Z10" s="53"/>
      <c r="AA10" s="53"/>
    </row>
    <row r="11" customFormat="false" ht="15" hidden="false" customHeight="false" outlineLevel="0" collapsed="false">
      <c r="A11" s="173" t="s">
        <v>641</v>
      </c>
      <c r="B11" s="173"/>
      <c r="C11" s="173"/>
      <c r="D11" s="174"/>
      <c r="E11" s="172"/>
      <c r="F11" s="166"/>
      <c r="G11" s="175" t="s">
        <v>655</v>
      </c>
      <c r="H11" s="175"/>
      <c r="I11" s="175"/>
      <c r="J11" s="53"/>
      <c r="K11" s="176"/>
      <c r="L11" s="172"/>
      <c r="M11" s="172"/>
      <c r="N11" s="172"/>
      <c r="O11" s="172"/>
      <c r="P11" s="177"/>
      <c r="Q11" s="53"/>
      <c r="R11" s="53"/>
      <c r="S11" s="53"/>
      <c r="T11" s="53"/>
      <c r="U11" s="53"/>
      <c r="V11" s="53"/>
      <c r="W11" s="53"/>
      <c r="X11" s="53"/>
      <c r="Y11" s="53"/>
      <c r="Z11" s="53"/>
      <c r="AA11" s="53"/>
    </row>
    <row r="12" customFormat="false" ht="15" hidden="false" customHeight="false" outlineLevel="0" collapsed="false">
      <c r="A12" s="173" t="s">
        <v>642</v>
      </c>
      <c r="B12" s="173"/>
      <c r="C12" s="173"/>
      <c r="D12" s="174"/>
      <c r="E12" s="190"/>
      <c r="F12" s="166"/>
      <c r="G12" s="175" t="s">
        <v>656</v>
      </c>
      <c r="H12" s="175"/>
      <c r="I12" s="175"/>
      <c r="J12" s="53"/>
      <c r="K12" s="176"/>
      <c r="L12" s="172"/>
      <c r="M12" s="172"/>
      <c r="N12" s="172"/>
      <c r="O12" s="172"/>
      <c r="P12" s="177"/>
      <c r="Q12" s="53"/>
      <c r="R12" s="53" t="s">
        <v>657</v>
      </c>
      <c r="S12" s="53"/>
      <c r="T12" s="53"/>
      <c r="U12" s="53"/>
      <c r="V12" s="53"/>
      <c r="W12" s="53"/>
      <c r="X12" s="53"/>
      <c r="Y12" s="53"/>
      <c r="Z12" s="53"/>
      <c r="AA12" s="53"/>
    </row>
    <row r="13" customFormat="false" ht="15" hidden="false" customHeight="false" outlineLevel="0" collapsed="false">
      <c r="A13" s="173" t="s">
        <v>643</v>
      </c>
      <c r="B13" s="173"/>
      <c r="C13" s="173"/>
      <c r="D13" s="174"/>
      <c r="E13" s="172"/>
      <c r="F13" s="166"/>
      <c r="G13" s="175" t="s">
        <v>658</v>
      </c>
      <c r="H13" s="175"/>
      <c r="I13" s="175"/>
      <c r="J13" s="53"/>
      <c r="K13" s="176"/>
      <c r="L13" s="172"/>
      <c r="M13" s="172"/>
      <c r="N13" s="172"/>
      <c r="O13" s="172"/>
      <c r="P13" s="177"/>
      <c r="Q13" s="53"/>
      <c r="R13" s="53" t="s">
        <v>659</v>
      </c>
      <c r="S13" s="53"/>
      <c r="T13" s="53"/>
      <c r="U13" s="53"/>
      <c r="V13" s="53"/>
      <c r="W13" s="53"/>
      <c r="X13" s="53"/>
      <c r="Y13" s="53"/>
      <c r="Z13" s="53"/>
      <c r="AA13" s="53"/>
    </row>
    <row r="14" customFormat="false" ht="15" hidden="false" customHeight="false" outlineLevel="0" collapsed="false">
      <c r="A14" s="179" t="s">
        <v>660</v>
      </c>
      <c r="B14" s="179"/>
      <c r="C14" s="179"/>
      <c r="D14" s="179"/>
      <c r="E14" s="179"/>
      <c r="F14" s="166"/>
      <c r="G14" s="175" t="s">
        <v>661</v>
      </c>
      <c r="H14" s="175"/>
      <c r="I14" s="175"/>
      <c r="J14" s="53"/>
      <c r="K14" s="176"/>
      <c r="L14" s="172"/>
      <c r="M14" s="172"/>
      <c r="N14" s="172"/>
      <c r="O14" s="172"/>
      <c r="P14" s="177"/>
      <c r="Q14" s="53"/>
      <c r="R14" s="53" t="s">
        <v>662</v>
      </c>
      <c r="S14" s="53"/>
      <c r="T14" s="53"/>
      <c r="U14" s="53"/>
      <c r="V14" s="53"/>
      <c r="W14" s="53"/>
      <c r="X14" s="53"/>
      <c r="Y14" s="53"/>
      <c r="Z14" s="53"/>
      <c r="AA14" s="53"/>
    </row>
    <row r="15" customFormat="false" ht="15" hidden="false" customHeight="false" outlineLevel="0" collapsed="false">
      <c r="A15" s="173" t="s">
        <v>663</v>
      </c>
      <c r="B15" s="173"/>
      <c r="C15" s="173"/>
      <c r="D15" s="191" t="n">
        <v>0.2</v>
      </c>
      <c r="E15" s="172"/>
      <c r="F15" s="166"/>
      <c r="G15" s="192" t="s">
        <v>664</v>
      </c>
      <c r="H15" s="192"/>
      <c r="I15" s="192"/>
      <c r="J15" s="164"/>
      <c r="K15" s="193"/>
      <c r="L15" s="194"/>
      <c r="M15" s="194"/>
      <c r="N15" s="194"/>
      <c r="O15" s="194"/>
      <c r="P15" s="195"/>
      <c r="Q15" s="53"/>
      <c r="R15" s="53" t="s">
        <v>665</v>
      </c>
      <c r="S15" s="53"/>
      <c r="T15" s="53"/>
      <c r="U15" s="53"/>
      <c r="V15" s="53"/>
      <c r="W15" s="53"/>
      <c r="X15" s="53"/>
      <c r="Y15" s="53"/>
      <c r="Z15" s="53"/>
      <c r="AA15" s="53"/>
    </row>
    <row r="16" customFormat="false" ht="15" hidden="false" customHeight="false" outlineLevel="0" collapsed="false">
      <c r="A16" s="173" t="s">
        <v>666</v>
      </c>
      <c r="B16" s="173"/>
      <c r="C16" s="173"/>
      <c r="D16" s="191" t="n">
        <v>0.1</v>
      </c>
      <c r="E16" s="172"/>
      <c r="F16" s="166"/>
      <c r="G16" s="186" t="s">
        <v>667</v>
      </c>
      <c r="H16" s="186"/>
      <c r="I16" s="186"/>
      <c r="J16" s="53"/>
      <c r="K16" s="196"/>
      <c r="L16" s="172"/>
      <c r="M16" s="172"/>
      <c r="N16" s="172"/>
      <c r="O16" s="172"/>
      <c r="P16" s="177"/>
      <c r="Q16" s="53"/>
      <c r="R16" s="53" t="s">
        <v>668</v>
      </c>
      <c r="S16" s="53"/>
      <c r="T16" s="53"/>
      <c r="U16" s="53"/>
      <c r="V16" s="53"/>
      <c r="W16" s="53"/>
      <c r="X16" s="53"/>
      <c r="Y16" s="53"/>
      <c r="Z16" s="53"/>
      <c r="AA16" s="53"/>
    </row>
    <row r="17" customFormat="false" ht="15" hidden="false" customHeight="false" outlineLevel="0" collapsed="false">
      <c r="A17" s="173" t="s">
        <v>669</v>
      </c>
      <c r="B17" s="173"/>
      <c r="C17" s="173"/>
      <c r="D17" s="191" t="n">
        <v>0.01</v>
      </c>
      <c r="E17" s="172"/>
      <c r="F17" s="166"/>
      <c r="G17" s="197" t="s">
        <v>670</v>
      </c>
      <c r="H17" s="197"/>
      <c r="I17" s="197"/>
      <c r="J17" s="198"/>
      <c r="K17" s="199" t="s">
        <v>638</v>
      </c>
      <c r="L17" s="199" t="s">
        <v>639</v>
      </c>
      <c r="M17" s="199" t="s">
        <v>640</v>
      </c>
      <c r="N17" s="200" t="s">
        <v>641</v>
      </c>
      <c r="O17" s="200" t="s">
        <v>642</v>
      </c>
      <c r="P17" s="170" t="s">
        <v>643</v>
      </c>
      <c r="Q17" s="53"/>
      <c r="R17" s="53" t="s">
        <v>671</v>
      </c>
      <c r="S17" s="53"/>
      <c r="T17" s="53"/>
      <c r="U17" s="53"/>
      <c r="V17" s="53"/>
      <c r="W17" s="53"/>
      <c r="X17" s="53"/>
      <c r="Y17" s="53"/>
      <c r="Z17" s="53"/>
      <c r="AA17" s="53"/>
    </row>
    <row r="18" customFormat="false" ht="15" hidden="false" customHeight="false" outlineLevel="0" collapsed="false">
      <c r="A18" s="179" t="s">
        <v>672</v>
      </c>
      <c r="B18" s="179"/>
      <c r="C18" s="179"/>
      <c r="D18" s="179"/>
      <c r="E18" s="179"/>
      <c r="F18" s="166"/>
      <c r="G18" s="186" t="s">
        <v>673</v>
      </c>
      <c r="H18" s="186"/>
      <c r="I18" s="186"/>
      <c r="J18" s="53"/>
      <c r="K18" s="196"/>
      <c r="L18" s="172"/>
      <c r="M18" s="172"/>
      <c r="N18" s="172"/>
      <c r="O18" s="172"/>
      <c r="P18" s="177"/>
      <c r="Q18" s="53"/>
      <c r="R18" s="53" t="s">
        <v>674</v>
      </c>
      <c r="S18" s="53"/>
      <c r="T18" s="53"/>
      <c r="U18" s="53"/>
      <c r="V18" s="53"/>
      <c r="W18" s="53"/>
      <c r="X18" s="53"/>
      <c r="Y18" s="53"/>
      <c r="Z18" s="53"/>
      <c r="AA18" s="53"/>
    </row>
    <row r="19" customFormat="false" ht="15" hidden="false" customHeight="false" outlineLevel="0" collapsed="false">
      <c r="A19" s="173" t="s">
        <v>675</v>
      </c>
      <c r="B19" s="173"/>
      <c r="C19" s="173"/>
      <c r="D19" s="178"/>
      <c r="E19" s="172"/>
      <c r="F19" s="166"/>
      <c r="G19" s="186" t="s">
        <v>676</v>
      </c>
      <c r="H19" s="186"/>
      <c r="I19" s="186"/>
      <c r="J19" s="53"/>
      <c r="K19" s="172"/>
      <c r="L19" s="172"/>
      <c r="M19" s="172"/>
      <c r="N19" s="172"/>
      <c r="O19" s="172"/>
      <c r="P19" s="177"/>
      <c r="Q19" s="53"/>
      <c r="R19" s="53"/>
      <c r="S19" s="53"/>
      <c r="T19" s="53"/>
      <c r="U19" s="53"/>
      <c r="V19" s="53"/>
      <c r="W19" s="53"/>
      <c r="X19" s="53"/>
      <c r="Y19" s="53"/>
      <c r="Z19" s="53"/>
      <c r="AA19" s="53"/>
    </row>
    <row r="20" customFormat="false" ht="15" hidden="false" customHeight="false" outlineLevel="0" collapsed="false">
      <c r="A20" s="173" t="s">
        <v>677</v>
      </c>
      <c r="B20" s="173"/>
      <c r="C20" s="173"/>
      <c r="D20" s="178"/>
      <c r="E20" s="172"/>
      <c r="F20" s="166"/>
      <c r="G20" s="201" t="s">
        <v>678</v>
      </c>
      <c r="H20" s="201"/>
      <c r="I20" s="201"/>
      <c r="J20" s="164"/>
      <c r="K20" s="194"/>
      <c r="L20" s="194"/>
      <c r="M20" s="194"/>
      <c r="N20" s="194"/>
      <c r="O20" s="194"/>
      <c r="P20" s="195"/>
      <c r="Q20" s="202"/>
      <c r="R20" s="53"/>
      <c r="S20" s="53"/>
      <c r="T20" s="53"/>
      <c r="U20" s="53"/>
      <c r="V20" s="53"/>
      <c r="W20" s="53"/>
      <c r="X20" s="53"/>
      <c r="Y20" s="53"/>
      <c r="Z20" s="53"/>
      <c r="AA20" s="53"/>
    </row>
    <row r="21" customFormat="false" ht="15" hidden="false" customHeight="false" outlineLevel="0" collapsed="false">
      <c r="A21" s="173" t="s">
        <v>679</v>
      </c>
      <c r="B21" s="173"/>
      <c r="C21" s="173"/>
      <c r="D21" s="178"/>
      <c r="E21" s="172"/>
      <c r="F21" s="53"/>
      <c r="G21" s="53"/>
      <c r="H21" s="53"/>
      <c r="I21" s="53"/>
      <c r="J21" s="53"/>
      <c r="K21" s="53"/>
      <c r="L21" s="53"/>
      <c r="M21" s="53"/>
      <c r="N21" s="53"/>
      <c r="O21" s="53"/>
      <c r="P21" s="53"/>
      <c r="Q21" s="53"/>
      <c r="R21" s="53"/>
      <c r="S21" s="53"/>
      <c r="T21" s="53"/>
      <c r="U21" s="53"/>
      <c r="V21" s="53"/>
      <c r="W21" s="53"/>
      <c r="X21" s="53"/>
      <c r="Y21" s="53"/>
      <c r="Z21" s="53"/>
      <c r="AA21" s="53"/>
    </row>
    <row r="22" customFormat="false" ht="15" hidden="false" customHeight="false" outlineLevel="0" collapsed="false">
      <c r="A22" s="173" t="s">
        <v>680</v>
      </c>
      <c r="B22" s="173"/>
      <c r="C22" s="173"/>
      <c r="D22" s="178"/>
      <c r="E22" s="172"/>
      <c r="F22" s="53"/>
      <c r="G22" s="53"/>
      <c r="H22" s="53"/>
      <c r="I22" s="53"/>
      <c r="J22" s="53"/>
      <c r="K22" s="53"/>
      <c r="L22" s="53"/>
      <c r="M22" s="53"/>
      <c r="N22" s="53"/>
      <c r="O22" s="53"/>
      <c r="P22" s="53"/>
      <c r="Q22" s="53"/>
      <c r="R22" s="53"/>
      <c r="S22" s="53"/>
      <c r="T22" s="53"/>
      <c r="U22" s="53"/>
      <c r="V22" s="53"/>
      <c r="W22" s="53"/>
      <c r="X22" s="53"/>
      <c r="Y22" s="53"/>
      <c r="Z22" s="53"/>
      <c r="AA22" s="53"/>
    </row>
    <row r="23" customFormat="false" ht="15" hidden="false" customHeight="false" outlineLevel="0" collapsed="false">
      <c r="A23" s="203" t="s">
        <v>672</v>
      </c>
      <c r="B23" s="203"/>
      <c r="C23" s="203"/>
      <c r="D23" s="204"/>
      <c r="E23" s="172"/>
      <c r="F23" s="53"/>
      <c r="G23" s="53"/>
      <c r="H23" s="53"/>
      <c r="I23" s="53"/>
      <c r="J23" s="53"/>
      <c r="K23" s="53"/>
      <c r="L23" s="53"/>
      <c r="M23" s="53"/>
      <c r="N23" s="53"/>
      <c r="O23" s="53"/>
      <c r="P23" s="53"/>
      <c r="Q23" s="53"/>
      <c r="R23" s="53"/>
      <c r="S23" s="53"/>
      <c r="T23" s="53"/>
      <c r="U23" s="53"/>
      <c r="V23" s="53"/>
      <c r="W23" s="53"/>
      <c r="X23" s="53"/>
      <c r="Y23" s="53"/>
      <c r="Z23" s="53"/>
      <c r="AA23" s="53"/>
    </row>
    <row r="24" customFormat="false" ht="15" hidden="false" customHeight="false" outlineLevel="0" collapsed="false">
      <c r="A24" s="179" t="s">
        <v>681</v>
      </c>
      <c r="B24" s="179"/>
      <c r="C24" s="179"/>
      <c r="D24" s="179"/>
      <c r="E24" s="179"/>
      <c r="F24" s="53"/>
      <c r="G24" s="53"/>
      <c r="H24" s="53"/>
      <c r="I24" s="53"/>
      <c r="J24" s="53"/>
      <c r="K24" s="53"/>
      <c r="L24" s="53"/>
      <c r="M24" s="53"/>
      <c r="N24" s="53"/>
      <c r="O24" s="53"/>
      <c r="P24" s="53"/>
      <c r="Q24" s="53"/>
      <c r="R24" s="53"/>
      <c r="S24" s="53"/>
      <c r="T24" s="53"/>
      <c r="U24" s="53"/>
      <c r="V24" s="53"/>
      <c r="W24" s="53"/>
      <c r="X24" s="53"/>
      <c r="Y24" s="53"/>
      <c r="Z24" s="53"/>
      <c r="AA24" s="53"/>
    </row>
    <row r="25" customFormat="false" ht="15" hidden="false" customHeight="false" outlineLevel="0" collapsed="false">
      <c r="A25" s="205" t="s">
        <v>682</v>
      </c>
      <c r="B25" s="205"/>
      <c r="C25" s="205"/>
      <c r="D25" s="178"/>
      <c r="E25" s="188"/>
      <c r="F25" s="53"/>
      <c r="G25" s="53"/>
      <c r="H25" s="53"/>
      <c r="I25" s="53"/>
      <c r="J25" s="53"/>
      <c r="K25" s="53"/>
      <c r="L25" s="53"/>
      <c r="M25" s="53"/>
      <c r="N25" s="53"/>
      <c r="O25" s="53"/>
      <c r="P25" s="53"/>
      <c r="Q25" s="53"/>
      <c r="R25" s="53"/>
      <c r="S25" s="53"/>
      <c r="T25" s="53"/>
      <c r="U25" s="53"/>
      <c r="V25" s="53"/>
      <c r="W25" s="53"/>
      <c r="X25" s="53"/>
      <c r="Y25" s="53"/>
      <c r="Z25" s="53"/>
      <c r="AA25" s="53"/>
    </row>
    <row r="26" customFormat="false" ht="15" hidden="false" customHeight="false" outlineLevel="0" collapsed="false">
      <c r="A26" s="205" t="s">
        <v>683</v>
      </c>
      <c r="B26" s="205"/>
      <c r="C26" s="205"/>
      <c r="D26" s="178"/>
      <c r="E26" s="188"/>
      <c r="F26" s="53"/>
      <c r="G26" s="53"/>
      <c r="H26" s="53"/>
      <c r="I26" s="53"/>
      <c r="J26" s="53"/>
      <c r="K26" s="53"/>
      <c r="L26" s="53"/>
      <c r="M26" s="53"/>
      <c r="N26" s="53"/>
      <c r="O26" s="53"/>
      <c r="P26" s="53"/>
      <c r="Q26" s="53"/>
      <c r="R26" s="53"/>
      <c r="S26" s="53"/>
      <c r="T26" s="53"/>
      <c r="U26" s="53"/>
      <c r="V26" s="53"/>
      <c r="W26" s="53"/>
      <c r="X26" s="53"/>
      <c r="Y26" s="53"/>
      <c r="Z26" s="53"/>
      <c r="AA26" s="53"/>
    </row>
    <row r="27" customFormat="false" ht="15" hidden="false" customHeight="false" outlineLevel="0" collapsed="false">
      <c r="A27" s="203" t="s">
        <v>654</v>
      </c>
      <c r="B27" s="203"/>
      <c r="C27" s="203"/>
      <c r="D27" s="204"/>
      <c r="E27" s="206"/>
      <c r="F27" s="53"/>
      <c r="G27" s="53" t="s">
        <v>684</v>
      </c>
      <c r="H27" s="53"/>
      <c r="I27" s="53"/>
      <c r="J27" s="53"/>
      <c r="K27" s="53" t="s">
        <v>685</v>
      </c>
      <c r="L27" s="53"/>
      <c r="M27" s="53"/>
      <c r="N27" s="53"/>
      <c r="O27" s="53"/>
      <c r="P27" s="53"/>
      <c r="Q27" s="53"/>
      <c r="R27" s="53"/>
      <c r="S27" s="53"/>
      <c r="T27" s="53"/>
      <c r="U27" s="53"/>
      <c r="V27" s="53"/>
      <c r="W27" s="53"/>
      <c r="X27" s="53"/>
      <c r="Y27" s="53"/>
      <c r="Z27" s="53"/>
      <c r="AA27" s="53"/>
    </row>
    <row r="28" customFormat="false" ht="15" hidden="false" customHeight="false" outlineLevel="0" collapsed="false">
      <c r="A28" s="203" t="s">
        <v>686</v>
      </c>
      <c r="B28" s="203"/>
      <c r="C28" s="203"/>
      <c r="D28" s="204"/>
      <c r="E28" s="206"/>
      <c r="F28" s="53"/>
      <c r="G28" s="53"/>
      <c r="H28" s="53"/>
      <c r="I28" s="53"/>
      <c r="J28" s="53"/>
      <c r="K28" s="53"/>
      <c r="L28" s="53"/>
      <c r="M28" s="53"/>
      <c r="N28" s="53"/>
      <c r="O28" s="53"/>
      <c r="P28" s="53"/>
      <c r="Q28" s="53"/>
      <c r="R28" s="53"/>
      <c r="S28" s="53"/>
      <c r="T28" s="53"/>
      <c r="U28" s="53"/>
      <c r="V28" s="53"/>
      <c r="W28" s="53"/>
      <c r="X28" s="53"/>
      <c r="Y28" s="53"/>
      <c r="Z28" s="53"/>
      <c r="AA28" s="53"/>
    </row>
    <row r="29" customFormat="false" ht="15" hidden="false" customHeight="false" outlineLevel="0" collapsed="false">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row>
    <row r="30" customFormat="false" ht="15" hidden="false" customHeight="false" outlineLevel="0" collapsed="false">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row>
    <row r="31" customFormat="false" ht="15" hidden="false" customHeight="false" outlineLevel="0" collapsed="false">
      <c r="Q31" s="53"/>
      <c r="R31" s="53"/>
      <c r="S31" s="53"/>
      <c r="T31" s="53"/>
      <c r="U31" s="53"/>
      <c r="V31" s="53"/>
      <c r="W31" s="53"/>
      <c r="X31" s="53"/>
      <c r="Y31" s="53"/>
      <c r="Z31" s="53"/>
      <c r="AA31" s="53"/>
    </row>
  </sheetData>
  <mergeCells count="48">
    <mergeCell ref="A3:E3"/>
    <mergeCell ref="G3:I4"/>
    <mergeCell ref="K3:K4"/>
    <mergeCell ref="L3:L4"/>
    <mergeCell ref="M3:M4"/>
    <mergeCell ref="N3:N4"/>
    <mergeCell ref="O3:O4"/>
    <mergeCell ref="P3:P4"/>
    <mergeCell ref="A5:C5"/>
    <mergeCell ref="G5:I5"/>
    <mergeCell ref="A6:C6"/>
    <mergeCell ref="G6:I6"/>
    <mergeCell ref="A7:E7"/>
    <mergeCell ref="G7:I7"/>
    <mergeCell ref="A8:C8"/>
    <mergeCell ref="G8:I8"/>
    <mergeCell ref="A9:C9"/>
    <mergeCell ref="G9:I9"/>
    <mergeCell ref="A10:C10"/>
    <mergeCell ref="G10:I10"/>
    <mergeCell ref="A11:C11"/>
    <mergeCell ref="G11:I11"/>
    <mergeCell ref="A12:C12"/>
    <mergeCell ref="G12:I12"/>
    <mergeCell ref="A13:C13"/>
    <mergeCell ref="G13:I13"/>
    <mergeCell ref="A14:E14"/>
    <mergeCell ref="G14:I14"/>
    <mergeCell ref="A15:C15"/>
    <mergeCell ref="G15:I15"/>
    <mergeCell ref="A16:C16"/>
    <mergeCell ref="G16:I16"/>
    <mergeCell ref="A17:C17"/>
    <mergeCell ref="G17:I17"/>
    <mergeCell ref="A18:E18"/>
    <mergeCell ref="G18:I18"/>
    <mergeCell ref="A19:C19"/>
    <mergeCell ref="G19:I19"/>
    <mergeCell ref="A20:C20"/>
    <mergeCell ref="G20:I20"/>
    <mergeCell ref="A21:C21"/>
    <mergeCell ref="A22:C22"/>
    <mergeCell ref="A23:C23"/>
    <mergeCell ref="A24:E24"/>
    <mergeCell ref="A25:C25"/>
    <mergeCell ref="A26:C26"/>
    <mergeCell ref="A27:C27"/>
    <mergeCell ref="A28:C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9" activeCellId="0" sqref="F9"/>
    </sheetView>
  </sheetViews>
  <sheetFormatPr defaultColWidth="10.16015625" defaultRowHeight="12.8" zeroHeight="false" outlineLevelRow="0" outlineLevelCol="0"/>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2001-12-31T21:34:12Z</dcterms:created>
  <dc:creator>PAO</dc:creator>
  <dc:description/>
  <dc:language>fr-FR</dc:language>
  <cp:lastModifiedBy/>
  <cp:lastPrinted>2022-11-01T12:06:03Z</cp:lastPrinted>
  <dcterms:modified xsi:type="dcterms:W3CDTF">2026-02-06T12:16:31Z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